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30"/>
  </bookViews>
  <sheets>
    <sheet name="custom_units" sheetId="1" r:id="rId1"/>
    <sheet name="__常用键值" sheetId="3" r:id="rId2"/>
    <sheet name="老表" sheetId="4" r:id="rId3"/>
  </sheets>
  <definedNames>
    <definedName name="_xlnm._FilterDatabase" localSheetId="0" hidden="1">custom_units!#REF!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<sst xmlns="http://schemas.openxmlformats.org/spreadsheetml/2006/main" count="700" uniqueCount="261">
  <si>
    <t>主键</t>
  </si>
  <si>
    <t>基类</t>
  </si>
  <si>
    <t>角色星级</t>
  </si>
  <si>
    <t>模型</t>
  </si>
  <si>
    <t>弹道特效</t>
  </si>
  <si>
    <t>弹道速度</t>
  </si>
  <si>
    <t>投掷物出点</t>
  </si>
  <si>
    <t>声音</t>
  </si>
  <si>
    <t>声音路径</t>
  </si>
  <si>
    <t>模型大小</t>
  </si>
  <si>
    <t>技能1</t>
  </si>
  <si>
    <t>技能2</t>
  </si>
  <si>
    <t>技能3</t>
  </si>
  <si>
    <t>技能4</t>
  </si>
  <si>
    <t>技能5</t>
  </si>
  <si>
    <t>技能6</t>
  </si>
  <si>
    <t>技能7</t>
  </si>
  <si>
    <t>技能8</t>
  </si>
  <si>
    <t>技能9</t>
  </si>
  <si>
    <t>技能10</t>
  </si>
  <si>
    <t>技能11</t>
  </si>
  <si>
    <t>技能12</t>
  </si>
  <si>
    <t>技能13</t>
  </si>
  <si>
    <t>技能14</t>
  </si>
  <si>
    <t>技能15</t>
  </si>
  <si>
    <t>技能16</t>
  </si>
  <si>
    <t>护甲</t>
  </si>
  <si>
    <t>魔抗</t>
  </si>
  <si>
    <t>生命值</t>
  </si>
  <si>
    <t>生命回复</t>
  </si>
  <si>
    <t>魔法值</t>
  </si>
  <si>
    <t>初始魔法值</t>
  </si>
  <si>
    <t>魔法回复</t>
  </si>
  <si>
    <t>最小攻击力</t>
  </si>
  <si>
    <t>最大攻击力</t>
  </si>
  <si>
    <t>攻击频率</t>
  </si>
  <si>
    <t>攻击距离</t>
  </si>
  <si>
    <t>攻击类型</t>
  </si>
  <si>
    <t>移动能力</t>
  </si>
  <si>
    <t>移动速度</t>
  </si>
  <si>
    <t>转身速率</t>
  </si>
  <si>
    <t>队伍归属</t>
  </si>
  <si>
    <t>防御类型</t>
  </si>
  <si>
    <t>单位类型</t>
  </si>
  <si>
    <t>白天视野范围</t>
  </si>
  <si>
    <t>晚上视野范围</t>
  </si>
  <si>
    <t>小地图图标</t>
  </si>
  <si>
    <t>小地图图标大小</t>
  </si>
  <si>
    <t>含义待确定</t>
  </si>
  <si>
    <t>血条长度（待确定）</t>
  </si>
  <si>
    <t>是否有物品栏</t>
  </si>
  <si>
    <t>物品栏（待确认）</t>
  </si>
  <si>
    <t>MainKey</t>
  </si>
  <si>
    <t>BaseClass</t>
  </si>
  <si>
    <t>Level</t>
  </si>
  <si>
    <t>Model</t>
  </si>
  <si>
    <t>ProjectileModel</t>
  </si>
  <si>
    <t>ProjectileSpeed</t>
  </si>
  <si>
    <t>AttackAnimationPoint</t>
  </si>
  <si>
    <t>SoundSet</t>
  </si>
  <si>
    <t>GameSoundsFile</t>
  </si>
  <si>
    <t>ModelScale</t>
  </si>
  <si>
    <t>Ability1</t>
  </si>
  <si>
    <t>Ability2</t>
  </si>
  <si>
    <t>Ability3</t>
  </si>
  <si>
    <t>Ability4</t>
  </si>
  <si>
    <t>Ability5</t>
  </si>
  <si>
    <t>Ability6</t>
  </si>
  <si>
    <t>Ability7</t>
  </si>
  <si>
    <t>Ability8</t>
  </si>
  <si>
    <t>Ability9</t>
  </si>
  <si>
    <t>Ability10</t>
  </si>
  <si>
    <t>Ability11</t>
  </si>
  <si>
    <t>Ability12</t>
  </si>
  <si>
    <t>Ability13</t>
  </si>
  <si>
    <t>Ability14</t>
  </si>
  <si>
    <t>Ability15</t>
  </si>
  <si>
    <t>Ability16</t>
  </si>
  <si>
    <t>ArmorPhysical</t>
  </si>
  <si>
    <t>MagicalResistance</t>
  </si>
  <si>
    <t>StatusHealth</t>
  </si>
  <si>
    <t>StatusHealthRegen</t>
  </si>
  <si>
    <t>StatusMana</t>
  </si>
  <si>
    <t>StatusStartingMana</t>
  </si>
  <si>
    <t>StatusManaRegen</t>
  </si>
  <si>
    <t>AttackDamageMin</t>
  </si>
  <si>
    <t>AttackDamageMax</t>
  </si>
  <si>
    <t>AttackRate</t>
  </si>
  <si>
    <t>AttackRange</t>
  </si>
  <si>
    <t>AttackCapabilities</t>
  </si>
  <si>
    <t>MovementCapabilities</t>
  </si>
  <si>
    <t>MovementSpeed</t>
  </si>
  <si>
    <t>MovementTurnRate</t>
  </si>
  <si>
    <t>TeamName</t>
  </si>
  <si>
    <t>CombatClassAttack</t>
  </si>
  <si>
    <t>CombatClassDefend</t>
  </si>
  <si>
    <t>UnitRelationshipClass</t>
  </si>
  <si>
    <t>VisionDaytimeRange</t>
  </si>
  <si>
    <t>VisionNighttimeRange</t>
  </si>
  <si>
    <t>MinimapIcon</t>
  </si>
  <si>
    <t>MinimapIconSize</t>
  </si>
  <si>
    <t>ConsideredHero</t>
  </si>
  <si>
    <t>HasInventory</t>
  </si>
  <si>
    <t>HealthBarOffset</t>
  </si>
  <si>
    <t>RingRadius</t>
  </si>
  <si>
    <t>Creature</t>
  </si>
  <si>
    <t>英雄示例（最好英文）</t>
  </si>
  <si>
    <t>npc_dota_creature</t>
  </si>
  <si>
    <t>models/heroes/phoenix/phoenix_bird.vmdl</t>
  </si>
  <si>
    <t>particles/units/heroes/hero_phoenix/phoenix_base_attack.vpcf</t>
  </si>
  <si>
    <t>Hero_Phoenix</t>
  </si>
  <si>
    <t>soundevents/game_sounds_phoenix/game_sounds_phoenix.vsndevts</t>
  </si>
  <si>
    <t>羁绊1</t>
  </si>
  <si>
    <t>羁绊2</t>
  </si>
  <si>
    <t>羁绊3</t>
  </si>
  <si>
    <t>碰撞规则</t>
  </si>
  <si>
    <t>基于代码调整</t>
  </si>
  <si>
    <t>DOTA_UNIT_CAP_NO_ATTACK（不普攻）
DOTA_UNIT_CAP_MELEE_ATTACK（近战）
DOTA_UNIT_CAP_RANGED_ATTACK（远程）</t>
  </si>
  <si>
    <t>DOTA_UNIT_CAP_MOVE_NONE（不移动）
DOTA_UNIT_CAP_MOVE_GROUND（地面移动）
DOTA_UNIT_CAP_MOVE_FLY（空中移动）</t>
  </si>
  <si>
    <t>DOTA_TEAM_GOODGUYS</t>
  </si>
  <si>
    <t>DOTA_COMBAT_CLASS_ATTACK_BASIC</t>
  </si>
  <si>
    <t>DOTA_COMBAT_CLASS_DEFEND_BASIC</t>
  </si>
  <si>
    <t>DOTA_NPC_UNIT_RELATIONSHIP_TYPE_BUILDING</t>
  </si>
  <si>
    <t>minimap_creep</t>
  </si>
  <si>
    <t xml:space="preserve">{
   "AttachWearables" {}
  }
</t>
  </si>
  <si>
    <t>崔丝塔娜</t>
  </si>
  <si>
    <t>models/heroes/</t>
  </si>
  <si>
    <t>particles/units/heroes/</t>
  </si>
  <si>
    <t>soundevents/</t>
  </si>
  <si>
    <t>DOTA_UNIT_CAP_RANGED_ATTACK</t>
  </si>
  <si>
    <t>DOTA_UNIT_CAP_MOVE_GROUND</t>
  </si>
  <si>
    <t xml:space="preserve"> 格雷福斯</t>
  </si>
  <si>
    <t xml:space="preserve"> 卢锡安</t>
  </si>
  <si>
    <t xml:space="preserve"> 慎</t>
  </si>
  <si>
    <t>DOTA_UNIT_CAP_MELEE_ATTACK</t>
  </si>
  <si>
    <t xml:space="preserve"> 普朗克</t>
  </si>
  <si>
    <t xml:space="preserve"> 金克丝</t>
  </si>
  <si>
    <t xml:space="preserve"> 厄运小姐</t>
  </si>
  <si>
    <t xml:space="preserve"> 薇恩</t>
  </si>
  <si>
    <t xml:space="preserve"> 崔斯特</t>
  </si>
  <si>
    <t xml:space="preserve"> 韦鲁斯</t>
  </si>
  <si>
    <t xml:space="preserve"> 艾希</t>
  </si>
  <si>
    <t xml:space="preserve"> 千珏</t>
  </si>
  <si>
    <t xml:space="preserve"> 卡莎</t>
  </si>
  <si>
    <t xml:space="preserve"> 伊莉丝</t>
  </si>
  <si>
    <t xml:space="preserve"> 莫甘娜</t>
  </si>
  <si>
    <t xml:space="preserve"> 伊芙琳</t>
  </si>
  <si>
    <t xml:space="preserve"> 布兰德</t>
  </si>
  <si>
    <t xml:space="preserve"> 斯维因</t>
  </si>
  <si>
    <t xml:space="preserve"> 盖伦</t>
  </si>
  <si>
    <t xml:space="preserve"> 菲奥娜</t>
  </si>
  <si>
    <t xml:space="preserve"> 蕾欧娜</t>
  </si>
  <si>
    <t xml:space="preserve"> 布隆</t>
  </si>
  <si>
    <t xml:space="preserve"> 凯尔</t>
  </si>
  <si>
    <t xml:space="preserve"> 丽桑卓</t>
  </si>
  <si>
    <t xml:space="preserve"> 波比</t>
  </si>
  <si>
    <t xml:space="preserve"> 雷克塞</t>
  </si>
  <si>
    <t xml:space="preserve"> 科加斯</t>
  </si>
  <si>
    <t xml:space="preserve"> 亚索</t>
  </si>
  <si>
    <t>键值</t>
  </si>
  <si>
    <t>说明</t>
  </si>
  <si>
    <t>示例</t>
  </si>
  <si>
    <t>vscripts</t>
  </si>
  <si>
    <t>AI脚本</t>
  </si>
  <si>
    <t>scripts/vscripts/ai/ai_test.lua</t>
  </si>
  <si>
    <t>等级</t>
  </si>
  <si>
    <t>生命值恢复</t>
  </si>
  <si>
    <t>魔法值恢复</t>
  </si>
  <si>
    <t>请到ts的UnitAttackCapability查看可用数值</t>
  </si>
  <si>
    <t>BaseAttackSpeed</t>
  </si>
  <si>
    <t>基础攻击速度</t>
  </si>
  <si>
    <t>AttackRangeBuffer</t>
  </si>
  <si>
    <t>攻击缓冲距离</t>
  </si>
  <si>
    <t>投射物特效</t>
  </si>
  <si>
    <t>所有的弹道类特效均可</t>
  </si>
  <si>
    <t>投射物速度</t>
  </si>
  <si>
    <t>攻击动画点</t>
  </si>
  <si>
    <t>DOTA_UNIT_CAP_MOVE_FLY</t>
  </si>
  <si>
    <t>请到ts的UnitMoveCapability查看可用数值</t>
  </si>
  <si>
    <t>转身速度</t>
  </si>
  <si>
    <t>转一圈所需要的时间</t>
  </si>
  <si>
    <t>日间视野范围</t>
  </si>
  <si>
    <t>夜间视野范围</t>
  </si>
  <si>
    <t>BountyGoldMin</t>
  </si>
  <si>
    <t>最大赏金</t>
  </si>
  <si>
    <t>BountyGoldMax</t>
  </si>
  <si>
    <t>最小赏金</t>
  </si>
  <si>
    <t>BountyXP</t>
  </si>
  <si>
    <t>击杀经验值</t>
  </si>
  <si>
    <t>Ability1-Ability32</t>
  </si>
  <si>
    <t>技能们</t>
  </si>
  <si>
    <t>是否拥有物品栏</t>
  </si>
  <si>
    <t>该模块主要用于添加饰品</t>
  </si>
  <si>
    <t>请参阅minions表</t>
  </si>
  <si>
    <t>血条偏移距离</t>
  </si>
  <si>
    <t>是否视为英雄</t>
  </si>
  <si>
    <t>IsAncient</t>
  </si>
  <si>
    <t>是否为远古</t>
  </si>
  <si>
    <t>IsBoss</t>
  </si>
  <si>
    <t>是否为BOSS</t>
  </si>
  <si>
    <t>IsNeutralUnitType</t>
  </si>
  <si>
    <t>是否为野怪</t>
  </si>
  <si>
    <t>IsOther</t>
  </si>
  <si>
    <t>是否为其他（墓碑等）</t>
  </si>
  <si>
    <t>IsRoshan</t>
  </si>
  <si>
    <t>是否为肉山</t>
  </si>
  <si>
    <t>IsSummoned</t>
  </si>
  <si>
    <t>是否为召唤物</t>
  </si>
  <si>
    <t>precache</t>
  </si>
  <si>
    <t>预载</t>
  </si>
  <si>
    <t>音效文件</t>
  </si>
  <si>
    <t>VoiceFile</t>
  </si>
  <si>
    <t>配音文件</t>
  </si>
  <si>
    <t>声音设置</t>
  </si>
  <si>
    <t>Hero_Sniper</t>
  </si>
  <si>
    <t>particle_folder</t>
  </si>
  <si>
    <t>特效文件夹</t>
  </si>
  <si>
    <t>Skin</t>
  </si>
  <si>
    <t>皮肤</t>
  </si>
  <si>
    <t>DisableWearables</t>
  </si>
  <si>
    <t>是否禁用饰品</t>
  </si>
  <si>
    <t>对应英雄</t>
  </si>
  <si>
    <t>纯英雄名字</t>
  </si>
  <si>
    <t>模型尺寸</t>
  </si>
  <si>
    <t>特殊数据</t>
  </si>
  <si>
    <t>挂载饰品</t>
  </si>
  <si>
    <t>粒子目录</t>
  </si>
  <si>
    <t>声音文件</t>
  </si>
  <si>
    <t>语音文件</t>
  </si>
  <si>
    <t>英雄血条</t>
  </si>
  <si>
    <t>血条高度</t>
  </si>
  <si>
    <t>攻击姿态</t>
  </si>
  <si>
    <t>移动类型</t>
  </si>
  <si>
    <t>护甲值</t>
  </si>
  <si>
    <t>生命恢复</t>
  </si>
  <si>
    <t>魔法恢复</t>
  </si>
  <si>
    <t>最小击杀金钱</t>
  </si>
  <si>
    <t>最大击杀金钱</t>
  </si>
  <si>
    <t>最小攻击</t>
  </si>
  <si>
    <t>最大攻击</t>
  </si>
  <si>
    <t>攻击间隔</t>
  </si>
  <si>
    <t>攻击前摇</t>
  </si>
  <si>
    <t>攻击范围</t>
  </si>
  <si>
    <t>碰撞体积</t>
  </si>
  <si>
    <t>选取框半径</t>
  </si>
  <si>
    <t>投射物速率</t>
  </si>
  <si>
    <t>AI文件</t>
  </si>
  <si>
    <t>是否有背包</t>
  </si>
  <si>
    <t>UnitName</t>
  </si>
  <si>
    <t>Creature[{]</t>
  </si>
  <si>
    <t>AttachWearables[{]</t>
  </si>
  <si>
    <t>[}]</t>
  </si>
  <si>
    <t>HasAggressiveStance</t>
  </si>
  <si>
    <t>BoundsHullName</t>
  </si>
  <si>
    <t>npc_kv_custom_earthshaker</t>
  </si>
  <si>
    <t>npc_dota_hero_earthshaker</t>
  </si>
  <si>
    <t>models/heroes/earthshaker/earthshaker.vmdl</t>
  </si>
  <si>
    <t>Hero_EarthShaker</t>
  </si>
  <si>
    <t>soundevents/game_sounds_heroes/game_sounds_earthshaker.vsndevts</t>
  </si>
  <si>
    <t>soundevents/voscripts/game_sounds_vo_earthshaker.vsndevts</t>
  </si>
  <si>
    <t>DOTA_HULL_SIZE_HERO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</si>
</sst>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7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sz val="11"/>
      <color theme="1"/>
      <name val="宋体"/>
      <charset val="134"/>
    </font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7" tint="0.799829096346934"/>
        <bgColor indexed="64"/>
      </patternFill>
    </fill>
    <fill>
      <patternFill patternType="solid">
        <fgColor theme="6" tint="0.399822992645039"/>
        <bgColor indexed="64"/>
      </patternFill>
    </fill>
    <fill>
      <patternFill patternType="solid">
        <fgColor theme="5" tint="0.39982299264503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7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18" fillId="19" borderId="6" applyNumberFormat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44" borderId="0" applyNumberFormat="0" applyBorder="0" applyAlignment="0" applyProtection="0">
      <alignment vertical="center"/>
    </xf>
    <xf numFmtId="0" fontId="26" fillId="45" borderId="0" applyNumberFormat="0" applyBorder="0" applyAlignment="0" applyProtection="0">
      <alignment vertical="center"/>
    </xf>
    <xf numFmtId="0" fontId="26" fillId="46" borderId="0" applyNumberFormat="0" applyBorder="0" applyAlignment="0" applyProtection="0">
      <alignment vertical="center"/>
    </xf>
    <xf numFmtId="0" fontId="25" fillId="47" borderId="0" applyNumberFormat="0" applyBorder="0" applyAlignment="0" applyProtection="0">
      <alignment vertical="center"/>
    </xf>
  </cellStyleXfs>
  <cellXfs count="68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/>
    <xf numFmtId="0" fontId="0" fillId="0" borderId="2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center"/>
    </xf>
    <xf numFmtId="176" fontId="0" fillId="0" borderId="0" xfId="0" applyNumberFormat="1" applyAlignment="1">
      <alignment horizontal="center"/>
    </xf>
    <xf numFmtId="0" fontId="2" fillId="2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2" fillId="4" borderId="2" xfId="0" applyFont="1" applyFill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/>
    </xf>
    <xf numFmtId="0" fontId="0" fillId="0" borderId="2" xfId="0" applyBorder="1" applyAlignment="1">
      <alignment horizontal="right"/>
    </xf>
    <xf numFmtId="0" fontId="3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 wrapText="1"/>
    </xf>
    <xf numFmtId="176" fontId="4" fillId="7" borderId="2" xfId="0" applyNumberFormat="1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right" vertical="center"/>
    </xf>
    <xf numFmtId="176" fontId="1" fillId="0" borderId="2" xfId="0" applyNumberFormat="1" applyFont="1" applyBorder="1" applyAlignment="1">
      <alignment horizontal="right" vertical="center"/>
    </xf>
    <xf numFmtId="49" fontId="0" fillId="0" borderId="2" xfId="0" applyNumberFormat="1" applyBorder="1" applyAlignment="1">
      <alignment horizontal="center"/>
    </xf>
    <xf numFmtId="176" fontId="0" fillId="0" borderId="2" xfId="0" applyNumberFormat="1" applyBorder="1" applyAlignment="1">
      <alignment horizontal="center"/>
    </xf>
    <xf numFmtId="0" fontId="2" fillId="8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5" fillId="0" borderId="2" xfId="0" applyFont="1" applyBorder="1"/>
    <xf numFmtId="0" fontId="6" fillId="0" borderId="2" xfId="0" applyFont="1" applyBorder="1" applyAlignment="1">
      <alignment horizontal="center" vertical="center"/>
    </xf>
    <xf numFmtId="0" fontId="5" fillId="0" borderId="2" xfId="0" applyFont="1" applyFill="1" applyBorder="1"/>
    <xf numFmtId="0" fontId="6" fillId="9" borderId="2" xfId="0" applyFont="1" applyFill="1" applyBorder="1" applyAlignment="1">
      <alignment horizontal="center" vertical="center"/>
    </xf>
    <xf numFmtId="0" fontId="7" fillId="0" borderId="2" xfId="0" applyFont="1" applyBorder="1"/>
    <xf numFmtId="0" fontId="0" fillId="10" borderId="2" xfId="0" applyFill="1" applyBorder="1"/>
    <xf numFmtId="0" fontId="0" fillId="10" borderId="2" xfId="0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  <xf numFmtId="0" fontId="0" fillId="14" borderId="2" xfId="0" applyFill="1" applyBorder="1"/>
    <xf numFmtId="0" fontId="0" fillId="15" borderId="2" xfId="0" applyFill="1" applyBorder="1"/>
    <xf numFmtId="0" fontId="0" fillId="16" borderId="2" xfId="0" applyFill="1" applyBorder="1"/>
    <xf numFmtId="0" fontId="0" fillId="11" borderId="2" xfId="0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7" fillId="11" borderId="2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2" xfId="0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7" fillId="12" borderId="2" xfId="0" applyFont="1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7" fillId="13" borderId="2" xfId="0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7" fillId="14" borderId="2" xfId="0" applyFont="1" applyFill="1" applyBorder="1" applyAlignment="1">
      <alignment horizontal="center"/>
    </xf>
    <xf numFmtId="0" fontId="7" fillId="15" borderId="2" xfId="0" applyFont="1" applyFill="1" applyBorder="1" applyAlignment="1">
      <alignment horizontal="center"/>
    </xf>
    <xf numFmtId="0" fontId="0" fillId="14" borderId="2" xfId="0" applyFill="1" applyBorder="1" applyAlignment="1">
      <alignment horizontal="center"/>
    </xf>
    <xf numFmtId="0" fontId="0" fillId="15" borderId="2" xfId="0" applyFill="1" applyBorder="1" applyAlignment="1">
      <alignment horizontal="center" wrapText="1"/>
    </xf>
    <xf numFmtId="0" fontId="0" fillId="15" borderId="2" xfId="0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7" fillId="11" borderId="2" xfId="0" applyFont="1" applyFill="1" applyBorder="1" applyAlignment="1">
      <alignment horizontal="center"/>
    </xf>
    <xf numFmtId="0" fontId="0" fillId="11" borderId="2" xfId="0" applyFill="1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ill>
        <patternFill patternType="solid">
          <bgColor rgb="FF92D050"/>
        </patternFill>
      </fill>
    </dxf>
    <dxf>
      <fill>
        <patternFill patternType="solid">
          <bgColor theme="0" tint="-0.0499893185216834"/>
        </patternFill>
      </fill>
      <border>
        <left/>
        <right/>
        <top/>
        <bottom/>
      </border>
    </dxf>
    <dxf>
      <font>
        <color rgb="FF0070C0"/>
      </font>
    </dxf>
    <dxf>
      <font>
        <color theme="5" tint="-0.249946592608417"/>
      </font>
    </dxf>
    <dxf>
      <fill>
        <patternFill patternType="solid"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31"/>
  <sheetViews>
    <sheetView tabSelected="1" zoomScale="115" zoomScaleNormal="115" workbookViewId="0">
      <pane xSplit="1" ySplit="1" topLeftCell="AU2" activePane="bottomRight" state="frozen"/>
      <selection/>
      <selection pane="topRight"/>
      <selection pane="bottomLeft"/>
      <selection pane="bottomRight" activeCell="BC1" sqref="BC1"/>
    </sheetView>
  </sheetViews>
  <sheetFormatPr defaultColWidth="9" defaultRowHeight="14"/>
  <cols>
    <col min="1" max="3" width="20.5666666666667" style="39" customWidth="1"/>
    <col min="4" max="4" width="37.75" style="40" customWidth="1"/>
    <col min="5" max="5" width="47.175" style="41" customWidth="1"/>
    <col min="6" max="6" width="14.275" style="42" customWidth="1"/>
    <col min="7" max="7" width="21.45" style="42" customWidth="1"/>
    <col min="8" max="8" width="15.075" style="42" customWidth="1"/>
    <col min="9" max="9" width="51.8833333333333" style="41" customWidth="1"/>
    <col min="10" max="10" width="9.14166666666667" style="39"/>
    <col min="11" max="13" width="13.6416666666667" style="43" customWidth="1"/>
    <col min="14" max="25" width="13.6416666666667" style="43" hidden="1" customWidth="1"/>
    <col min="26" max="26" width="13.6416666666667" style="43" customWidth="1"/>
    <col min="27" max="28" width="9.14166666666667" style="44"/>
    <col min="29" max="29" width="16.1583333333333" style="43" customWidth="1"/>
    <col min="30" max="30" width="9.14166666666667" style="43"/>
    <col min="31" max="32" width="18.25" style="43" customWidth="1"/>
    <col min="33" max="33" width="16.5" style="43" customWidth="1"/>
    <col min="34" max="34" width="14.0833333333333" style="45" customWidth="1"/>
    <col min="35" max="35" width="16.9166666666667" style="45" customWidth="1"/>
    <col min="36" max="36" width="15.0833333333333" style="45" customWidth="1"/>
    <col min="37" max="37" width="9.14166666666667" style="45"/>
    <col min="38" max="38" width="38.4166666666667" style="46" customWidth="1"/>
    <col min="39" max="39" width="42.0833333333333" style="46" customWidth="1"/>
    <col min="40" max="40" width="16.875" style="46" customWidth="1"/>
    <col min="41" max="41" width="17.4666666666667" style="46" customWidth="1"/>
    <col min="42" max="42" width="29.1333333333333" style="47" customWidth="1"/>
    <col min="43" max="43" width="31.8083333333333" style="47" customWidth="1"/>
    <col min="44" max="44" width="32.4666666666667" style="47" customWidth="1"/>
    <col min="45" max="49" width="43.0416666666667" style="47" customWidth="1"/>
    <col min="50" max="53" width="17.75" style="39" customWidth="1"/>
    <col min="54" max="54" width="18.7583333333333" style="39" customWidth="1"/>
    <col min="55" max="55" width="30.0666666666667" style="48" customWidth="1"/>
    <col min="56" max="16370" width="9.14166666666667" style="3"/>
    <col min="16372" max="16384" width="9" style="3"/>
  </cols>
  <sheetData>
    <row r="1" s="38" customFormat="1" spans="1:55">
      <c r="A1" s="49" t="s">
        <v>0</v>
      </c>
      <c r="B1" s="49" t="s">
        <v>1</v>
      </c>
      <c r="C1" s="49" t="s">
        <v>2</v>
      </c>
      <c r="D1" s="49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0" t="s">
        <v>8</v>
      </c>
      <c r="J1" s="49" t="s">
        <v>9</v>
      </c>
      <c r="K1" s="54" t="s">
        <v>10</v>
      </c>
      <c r="L1" s="54" t="s">
        <v>11</v>
      </c>
      <c r="M1" s="54" t="s">
        <v>12</v>
      </c>
      <c r="N1" s="54" t="s">
        <v>13</v>
      </c>
      <c r="O1" s="54" t="s">
        <v>14</v>
      </c>
      <c r="P1" s="54" t="s">
        <v>15</v>
      </c>
      <c r="Q1" s="54" t="s">
        <v>16</v>
      </c>
      <c r="R1" s="54" t="s">
        <v>17</v>
      </c>
      <c r="S1" s="54" t="s">
        <v>18</v>
      </c>
      <c r="T1" s="54" t="s">
        <v>19</v>
      </c>
      <c r="U1" s="54" t="s">
        <v>20</v>
      </c>
      <c r="V1" s="54" t="s">
        <v>21</v>
      </c>
      <c r="W1" s="54" t="s">
        <v>22</v>
      </c>
      <c r="X1" s="54" t="s">
        <v>23</v>
      </c>
      <c r="Y1" s="54" t="s">
        <v>24</v>
      </c>
      <c r="Z1" s="54" t="s">
        <v>25</v>
      </c>
      <c r="AA1" s="56" t="s">
        <v>26</v>
      </c>
      <c r="AB1" s="56" t="s">
        <v>27</v>
      </c>
      <c r="AC1" s="54" t="s">
        <v>28</v>
      </c>
      <c r="AD1" s="54" t="s">
        <v>29</v>
      </c>
      <c r="AE1" s="54" t="s">
        <v>30</v>
      </c>
      <c r="AF1" s="54" t="s">
        <v>31</v>
      </c>
      <c r="AG1" s="54" t="s">
        <v>32</v>
      </c>
      <c r="AH1" s="59" t="s">
        <v>33</v>
      </c>
      <c r="AI1" s="59" t="s">
        <v>34</v>
      </c>
      <c r="AJ1" s="59" t="s">
        <v>35</v>
      </c>
      <c r="AK1" s="59" t="s">
        <v>36</v>
      </c>
      <c r="AL1" s="60" t="s">
        <v>37</v>
      </c>
      <c r="AM1" s="60" t="s">
        <v>38</v>
      </c>
      <c r="AN1" s="60" t="s">
        <v>39</v>
      </c>
      <c r="AO1" s="60" t="s">
        <v>40</v>
      </c>
      <c r="AP1" s="64" t="s">
        <v>41</v>
      </c>
      <c r="AQ1" s="64" t="s">
        <v>37</v>
      </c>
      <c r="AR1" s="64" t="s">
        <v>42</v>
      </c>
      <c r="AS1" s="64" t="s">
        <v>43</v>
      </c>
      <c r="AT1" s="64" t="s">
        <v>44</v>
      </c>
      <c r="AU1" s="64" t="s">
        <v>45</v>
      </c>
      <c r="AV1" s="64" t="s">
        <v>46</v>
      </c>
      <c r="AW1" s="64" t="s">
        <v>47</v>
      </c>
      <c r="AX1" s="49" t="s">
        <v>48</v>
      </c>
      <c r="AY1" s="49" t="s">
        <v>48</v>
      </c>
      <c r="AZ1" s="49" t="s">
        <v>49</v>
      </c>
      <c r="BA1" s="49" t="s">
        <v>48</v>
      </c>
      <c r="BB1" s="49" t="s">
        <v>50</v>
      </c>
      <c r="BC1" s="66" t="s">
        <v>51</v>
      </c>
    </row>
    <row r="2" s="38" customFormat="1" spans="1:55">
      <c r="A2" s="49" t="s">
        <v>52</v>
      </c>
      <c r="B2" s="49" t="s">
        <v>53</v>
      </c>
      <c r="C2" s="49" t="s">
        <v>54</v>
      </c>
      <c r="D2" s="49" t="s">
        <v>55</v>
      </c>
      <c r="E2" s="50" t="s">
        <v>56</v>
      </c>
      <c r="F2" s="50" t="s">
        <v>57</v>
      </c>
      <c r="G2" s="50" t="s">
        <v>58</v>
      </c>
      <c r="H2" s="50" t="s">
        <v>59</v>
      </c>
      <c r="I2" s="50" t="s">
        <v>60</v>
      </c>
      <c r="J2" s="49" t="s">
        <v>61</v>
      </c>
      <c r="K2" s="54" t="s">
        <v>62</v>
      </c>
      <c r="L2" s="54" t="s">
        <v>63</v>
      </c>
      <c r="M2" s="54" t="s">
        <v>64</v>
      </c>
      <c r="N2" s="54" t="s">
        <v>65</v>
      </c>
      <c r="O2" s="54" t="s">
        <v>66</v>
      </c>
      <c r="P2" s="54" t="s">
        <v>67</v>
      </c>
      <c r="Q2" s="54" t="s">
        <v>68</v>
      </c>
      <c r="R2" s="54" t="s">
        <v>69</v>
      </c>
      <c r="S2" s="54" t="s">
        <v>70</v>
      </c>
      <c r="T2" s="54" t="s">
        <v>71</v>
      </c>
      <c r="U2" s="54" t="s">
        <v>72</v>
      </c>
      <c r="V2" s="54" t="s">
        <v>73</v>
      </c>
      <c r="W2" s="54" t="s">
        <v>74</v>
      </c>
      <c r="X2" s="54" t="s">
        <v>75</v>
      </c>
      <c r="Y2" s="54" t="s">
        <v>76</v>
      </c>
      <c r="Z2" s="54" t="s">
        <v>77</v>
      </c>
      <c r="AA2" s="56" t="s">
        <v>78</v>
      </c>
      <c r="AB2" s="56" t="s">
        <v>79</v>
      </c>
      <c r="AC2" s="54" t="s">
        <v>80</v>
      </c>
      <c r="AD2" s="54" t="s">
        <v>81</v>
      </c>
      <c r="AE2" s="54" t="s">
        <v>82</v>
      </c>
      <c r="AF2" s="54" t="s">
        <v>83</v>
      </c>
      <c r="AG2" s="54" t="s">
        <v>84</v>
      </c>
      <c r="AH2" s="59" t="s">
        <v>85</v>
      </c>
      <c r="AI2" s="59" t="s">
        <v>86</v>
      </c>
      <c r="AJ2" s="59" t="s">
        <v>87</v>
      </c>
      <c r="AK2" s="59" t="s">
        <v>88</v>
      </c>
      <c r="AL2" s="60" t="s">
        <v>89</v>
      </c>
      <c r="AM2" s="60" t="s">
        <v>90</v>
      </c>
      <c r="AN2" s="60" t="s">
        <v>91</v>
      </c>
      <c r="AO2" s="60" t="s">
        <v>92</v>
      </c>
      <c r="AP2" s="64" t="s">
        <v>93</v>
      </c>
      <c r="AQ2" s="64" t="s">
        <v>94</v>
      </c>
      <c r="AR2" s="64" t="s">
        <v>95</v>
      </c>
      <c r="AS2" s="64" t="s">
        <v>96</v>
      </c>
      <c r="AT2" s="64" t="s">
        <v>97</v>
      </c>
      <c r="AU2" s="64" t="s">
        <v>98</v>
      </c>
      <c r="AV2" s="64" t="s">
        <v>99</v>
      </c>
      <c r="AW2" s="64" t="s">
        <v>100</v>
      </c>
      <c r="AX2" s="49" t="s">
        <v>101</v>
      </c>
      <c r="AY2" s="49" t="s">
        <v>102</v>
      </c>
      <c r="AZ2" s="49" t="s">
        <v>103</v>
      </c>
      <c r="BA2" s="49" t="s">
        <v>104</v>
      </c>
      <c r="BB2" s="49" t="s">
        <v>102</v>
      </c>
      <c r="BC2" s="66" t="s">
        <v>105</v>
      </c>
    </row>
    <row r="3" s="3" customFormat="1" ht="56" spans="1:55">
      <c r="A3" s="51" t="s">
        <v>106</v>
      </c>
      <c r="B3" s="51" t="s">
        <v>107</v>
      </c>
      <c r="C3" s="51">
        <v>1</v>
      </c>
      <c r="D3" s="52" t="s">
        <v>108</v>
      </c>
      <c r="E3" s="53" t="s">
        <v>109</v>
      </c>
      <c r="F3" s="48">
        <v>800</v>
      </c>
      <c r="G3" s="48">
        <v>0.36</v>
      </c>
      <c r="H3" s="48" t="s">
        <v>110</v>
      </c>
      <c r="I3" s="53" t="s">
        <v>111</v>
      </c>
      <c r="J3" s="51">
        <v>1</v>
      </c>
      <c r="K3" s="55" t="s">
        <v>112</v>
      </c>
      <c r="L3" s="55" t="s">
        <v>113</v>
      </c>
      <c r="M3" s="55" t="s">
        <v>114</v>
      </c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 t="s">
        <v>115</v>
      </c>
      <c r="AA3" s="57">
        <v>0</v>
      </c>
      <c r="AB3" s="57">
        <v>0</v>
      </c>
      <c r="AC3" s="55">
        <v>500</v>
      </c>
      <c r="AD3" s="55">
        <v>0</v>
      </c>
      <c r="AE3" s="55">
        <v>100</v>
      </c>
      <c r="AF3" s="58">
        <v>0</v>
      </c>
      <c r="AG3" s="55" t="s">
        <v>116</v>
      </c>
      <c r="AH3" s="61">
        <v>0</v>
      </c>
      <c r="AI3" s="61">
        <v>0</v>
      </c>
      <c r="AJ3" s="61">
        <v>0.65</v>
      </c>
      <c r="AK3" s="61">
        <v>600</v>
      </c>
      <c r="AL3" s="62" t="s">
        <v>117</v>
      </c>
      <c r="AM3" s="62" t="s">
        <v>118</v>
      </c>
      <c r="AN3" s="63">
        <v>500</v>
      </c>
      <c r="AO3" s="63">
        <v>10</v>
      </c>
      <c r="AP3" s="65" t="s">
        <v>119</v>
      </c>
      <c r="AQ3" s="65" t="s">
        <v>120</v>
      </c>
      <c r="AR3" s="65" t="s">
        <v>121</v>
      </c>
      <c r="AS3" s="65" t="s">
        <v>122</v>
      </c>
      <c r="AT3" s="65">
        <v>900</v>
      </c>
      <c r="AU3" s="65">
        <v>600</v>
      </c>
      <c r="AV3" s="65" t="s">
        <v>123</v>
      </c>
      <c r="AW3" s="65">
        <v>256</v>
      </c>
      <c r="AX3" s="51">
        <v>1</v>
      </c>
      <c r="AY3" s="51">
        <v>1</v>
      </c>
      <c r="AZ3" s="51">
        <v>150</v>
      </c>
      <c r="BA3" s="51">
        <v>60</v>
      </c>
      <c r="BB3" s="51">
        <v>1</v>
      </c>
      <c r="BC3" s="67" t="s">
        <v>124</v>
      </c>
    </row>
    <row r="4" s="3" customFormat="1" spans="1:55">
      <c r="A4" s="51" t="s">
        <v>125</v>
      </c>
      <c r="B4" s="51" t="s">
        <v>107</v>
      </c>
      <c r="C4" s="51">
        <v>1</v>
      </c>
      <c r="D4" s="52" t="s">
        <v>126</v>
      </c>
      <c r="E4" s="53" t="s">
        <v>127</v>
      </c>
      <c r="F4" s="48">
        <v>800</v>
      </c>
      <c r="G4" s="48"/>
      <c r="H4" s="48"/>
      <c r="I4" s="53" t="s">
        <v>128</v>
      </c>
      <c r="J4" s="51">
        <v>1</v>
      </c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7">
        <v>20</v>
      </c>
      <c r="AB4" s="57">
        <v>20</v>
      </c>
      <c r="AC4" s="55">
        <v>500</v>
      </c>
      <c r="AD4" s="55">
        <v>0</v>
      </c>
      <c r="AE4" s="55">
        <v>50</v>
      </c>
      <c r="AF4" s="55">
        <v>0</v>
      </c>
      <c r="AG4" s="55" t="s">
        <v>116</v>
      </c>
      <c r="AH4" s="61">
        <v>50</v>
      </c>
      <c r="AI4" s="61">
        <v>50</v>
      </c>
      <c r="AJ4" s="61">
        <v>0.65</v>
      </c>
      <c r="AK4" s="61"/>
      <c r="AL4" s="63" t="s">
        <v>129</v>
      </c>
      <c r="AM4" s="63" t="s">
        <v>130</v>
      </c>
      <c r="AN4" s="63">
        <v>500</v>
      </c>
      <c r="AO4" s="63">
        <v>10</v>
      </c>
      <c r="AP4" s="65" t="s">
        <v>119</v>
      </c>
      <c r="AQ4" s="65" t="s">
        <v>120</v>
      </c>
      <c r="AR4" s="65" t="s">
        <v>121</v>
      </c>
      <c r="AS4" s="65" t="s">
        <v>122</v>
      </c>
      <c r="AT4" s="65">
        <v>900</v>
      </c>
      <c r="AU4" s="65">
        <v>600</v>
      </c>
      <c r="AV4" s="65" t="s">
        <v>123</v>
      </c>
      <c r="AW4" s="65">
        <v>256</v>
      </c>
      <c r="AX4" s="51">
        <v>1</v>
      </c>
      <c r="AY4" s="51">
        <v>1</v>
      </c>
      <c r="AZ4" s="51">
        <v>150</v>
      </c>
      <c r="BA4" s="51">
        <v>60</v>
      </c>
      <c r="BB4" s="51">
        <v>1</v>
      </c>
      <c r="BC4" s="48"/>
    </row>
    <row r="5" s="3" customFormat="1" spans="1:55">
      <c r="A5" s="51" t="s">
        <v>131</v>
      </c>
      <c r="B5" s="51" t="s">
        <v>107</v>
      </c>
      <c r="C5" s="51">
        <v>1</v>
      </c>
      <c r="D5" s="52" t="s">
        <v>126</v>
      </c>
      <c r="E5" s="53" t="s">
        <v>127</v>
      </c>
      <c r="F5" s="48">
        <v>800</v>
      </c>
      <c r="G5" s="48"/>
      <c r="H5" s="48"/>
      <c r="I5" s="53" t="s">
        <v>128</v>
      </c>
      <c r="J5" s="51">
        <v>1</v>
      </c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7">
        <v>30</v>
      </c>
      <c r="AB5" s="57">
        <v>20</v>
      </c>
      <c r="AC5" s="55">
        <v>450</v>
      </c>
      <c r="AD5" s="55">
        <v>0</v>
      </c>
      <c r="AE5" s="55">
        <v>0</v>
      </c>
      <c r="AF5" s="55">
        <v>0</v>
      </c>
      <c r="AG5" s="55" t="s">
        <v>116</v>
      </c>
      <c r="AH5" s="61">
        <v>55</v>
      </c>
      <c r="AI5" s="61">
        <v>55</v>
      </c>
      <c r="AJ5" s="61">
        <v>0.55</v>
      </c>
      <c r="AK5" s="61"/>
      <c r="AL5" s="63" t="s">
        <v>129</v>
      </c>
      <c r="AM5" s="63" t="s">
        <v>130</v>
      </c>
      <c r="AN5" s="63">
        <v>500</v>
      </c>
      <c r="AO5" s="63">
        <v>10</v>
      </c>
      <c r="AP5" s="65" t="s">
        <v>119</v>
      </c>
      <c r="AQ5" s="65" t="s">
        <v>120</v>
      </c>
      <c r="AR5" s="65" t="s">
        <v>121</v>
      </c>
      <c r="AS5" s="65" t="s">
        <v>122</v>
      </c>
      <c r="AT5" s="65">
        <v>900</v>
      </c>
      <c r="AU5" s="65">
        <v>600</v>
      </c>
      <c r="AV5" s="65" t="s">
        <v>123</v>
      </c>
      <c r="AW5" s="65">
        <v>256</v>
      </c>
      <c r="AX5" s="51">
        <v>1</v>
      </c>
      <c r="AY5" s="51">
        <v>1</v>
      </c>
      <c r="AZ5" s="51">
        <v>150</v>
      </c>
      <c r="BA5" s="51">
        <v>60</v>
      </c>
      <c r="BB5" s="51">
        <v>1</v>
      </c>
      <c r="BC5" s="48"/>
    </row>
    <row r="6" s="3" customFormat="1" spans="1:55">
      <c r="A6" s="51" t="s">
        <v>132</v>
      </c>
      <c r="B6" s="51" t="s">
        <v>107</v>
      </c>
      <c r="C6" s="51">
        <v>1</v>
      </c>
      <c r="D6" s="52" t="s">
        <v>126</v>
      </c>
      <c r="E6" s="53" t="s">
        <v>127</v>
      </c>
      <c r="F6" s="48">
        <v>800</v>
      </c>
      <c r="G6" s="48"/>
      <c r="H6" s="48"/>
      <c r="I6" s="53" t="s">
        <v>128</v>
      </c>
      <c r="J6" s="51">
        <v>1</v>
      </c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7">
        <v>25</v>
      </c>
      <c r="AB6" s="57">
        <v>20</v>
      </c>
      <c r="AC6" s="55">
        <v>600</v>
      </c>
      <c r="AD6" s="55">
        <v>0</v>
      </c>
      <c r="AE6" s="55">
        <v>35</v>
      </c>
      <c r="AF6" s="55">
        <v>0</v>
      </c>
      <c r="AG6" s="55" t="s">
        <v>116</v>
      </c>
      <c r="AH6" s="61">
        <v>65</v>
      </c>
      <c r="AI6" s="61">
        <v>65</v>
      </c>
      <c r="AJ6" s="61">
        <v>0.65</v>
      </c>
      <c r="AK6" s="61"/>
      <c r="AL6" s="63" t="s">
        <v>129</v>
      </c>
      <c r="AM6" s="63" t="s">
        <v>130</v>
      </c>
      <c r="AN6" s="63">
        <v>500</v>
      </c>
      <c r="AO6" s="63">
        <v>10</v>
      </c>
      <c r="AP6" s="65" t="s">
        <v>119</v>
      </c>
      <c r="AQ6" s="65" t="s">
        <v>120</v>
      </c>
      <c r="AR6" s="65" t="s">
        <v>121</v>
      </c>
      <c r="AS6" s="65" t="s">
        <v>122</v>
      </c>
      <c r="AT6" s="65">
        <v>900</v>
      </c>
      <c r="AU6" s="65">
        <v>600</v>
      </c>
      <c r="AV6" s="65" t="s">
        <v>123</v>
      </c>
      <c r="AW6" s="65">
        <v>256</v>
      </c>
      <c r="AX6" s="51">
        <v>1</v>
      </c>
      <c r="AY6" s="51">
        <v>1</v>
      </c>
      <c r="AZ6" s="51">
        <v>150</v>
      </c>
      <c r="BA6" s="51">
        <v>60</v>
      </c>
      <c r="BB6" s="51">
        <v>1</v>
      </c>
      <c r="BC6" s="48"/>
    </row>
    <row r="7" s="3" customFormat="1" spans="1:55">
      <c r="A7" s="51" t="s">
        <v>133</v>
      </c>
      <c r="B7" s="51" t="s">
        <v>107</v>
      </c>
      <c r="C7" s="51">
        <v>1</v>
      </c>
      <c r="D7" s="52" t="s">
        <v>126</v>
      </c>
      <c r="E7" s="53" t="s">
        <v>127</v>
      </c>
      <c r="F7" s="48">
        <v>800</v>
      </c>
      <c r="G7" s="48"/>
      <c r="H7" s="48"/>
      <c r="I7" s="53" t="s">
        <v>128</v>
      </c>
      <c r="J7" s="51">
        <v>1</v>
      </c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7">
        <v>30</v>
      </c>
      <c r="AB7" s="57">
        <v>20</v>
      </c>
      <c r="AC7" s="55">
        <v>700</v>
      </c>
      <c r="AD7" s="55">
        <v>0</v>
      </c>
      <c r="AE7" s="55">
        <v>150</v>
      </c>
      <c r="AF7" s="55">
        <v>100</v>
      </c>
      <c r="AG7" s="55" t="s">
        <v>116</v>
      </c>
      <c r="AH7" s="61">
        <v>65</v>
      </c>
      <c r="AI7" s="61">
        <v>65</v>
      </c>
      <c r="AJ7" s="61">
        <v>0.7</v>
      </c>
      <c r="AK7" s="61"/>
      <c r="AL7" s="63" t="s">
        <v>134</v>
      </c>
      <c r="AM7" s="63" t="s">
        <v>130</v>
      </c>
      <c r="AN7" s="63">
        <v>500</v>
      </c>
      <c r="AO7" s="63">
        <v>10</v>
      </c>
      <c r="AP7" s="65" t="s">
        <v>119</v>
      </c>
      <c r="AQ7" s="65" t="s">
        <v>120</v>
      </c>
      <c r="AR7" s="65" t="s">
        <v>121</v>
      </c>
      <c r="AS7" s="65" t="s">
        <v>122</v>
      </c>
      <c r="AT7" s="65">
        <v>900</v>
      </c>
      <c r="AU7" s="65">
        <v>600</v>
      </c>
      <c r="AV7" s="65" t="s">
        <v>123</v>
      </c>
      <c r="AW7" s="65">
        <v>256</v>
      </c>
      <c r="AX7" s="51">
        <v>1</v>
      </c>
      <c r="AY7" s="51">
        <v>1</v>
      </c>
      <c r="AZ7" s="51">
        <v>150</v>
      </c>
      <c r="BA7" s="51">
        <v>60</v>
      </c>
      <c r="BB7" s="51">
        <v>1</v>
      </c>
      <c r="BC7" s="48"/>
    </row>
    <row r="8" s="3" customFormat="1" spans="1:55">
      <c r="A8" s="51" t="s">
        <v>135</v>
      </c>
      <c r="B8" s="51" t="s">
        <v>107</v>
      </c>
      <c r="C8" s="51">
        <v>1</v>
      </c>
      <c r="D8" s="52" t="s">
        <v>126</v>
      </c>
      <c r="E8" s="53" t="s">
        <v>127</v>
      </c>
      <c r="F8" s="48">
        <v>800</v>
      </c>
      <c r="G8" s="48"/>
      <c r="H8" s="48"/>
      <c r="I8" s="53" t="s">
        <v>128</v>
      </c>
      <c r="J8" s="51">
        <v>1</v>
      </c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7">
        <v>20</v>
      </c>
      <c r="AB8" s="57">
        <v>20</v>
      </c>
      <c r="AC8" s="55">
        <v>700</v>
      </c>
      <c r="AD8" s="55">
        <v>0</v>
      </c>
      <c r="AE8" s="55">
        <v>100</v>
      </c>
      <c r="AF8" s="55">
        <v>0</v>
      </c>
      <c r="AG8" s="55" t="s">
        <v>116</v>
      </c>
      <c r="AH8" s="61">
        <v>60</v>
      </c>
      <c r="AI8" s="61">
        <v>60</v>
      </c>
      <c r="AJ8" s="61">
        <v>0.65</v>
      </c>
      <c r="AK8" s="61"/>
      <c r="AL8" s="63" t="s">
        <v>134</v>
      </c>
      <c r="AM8" s="63" t="s">
        <v>130</v>
      </c>
      <c r="AN8" s="63">
        <v>500</v>
      </c>
      <c r="AO8" s="63">
        <v>10</v>
      </c>
      <c r="AP8" s="65" t="s">
        <v>119</v>
      </c>
      <c r="AQ8" s="65" t="s">
        <v>120</v>
      </c>
      <c r="AR8" s="65" t="s">
        <v>121</v>
      </c>
      <c r="AS8" s="65" t="s">
        <v>122</v>
      </c>
      <c r="AT8" s="65">
        <v>900</v>
      </c>
      <c r="AU8" s="65">
        <v>600</v>
      </c>
      <c r="AV8" s="65" t="s">
        <v>123</v>
      </c>
      <c r="AW8" s="65">
        <v>256</v>
      </c>
      <c r="AX8" s="51">
        <v>1</v>
      </c>
      <c r="AY8" s="51">
        <v>1</v>
      </c>
      <c r="AZ8" s="51">
        <v>150</v>
      </c>
      <c r="BA8" s="51">
        <v>60</v>
      </c>
      <c r="BB8" s="51">
        <v>1</v>
      </c>
      <c r="BC8" s="48"/>
    </row>
    <row r="9" s="3" customFormat="1" spans="1:55">
      <c r="A9" s="51" t="s">
        <v>136</v>
      </c>
      <c r="B9" s="51" t="s">
        <v>107</v>
      </c>
      <c r="C9" s="51">
        <v>1</v>
      </c>
      <c r="D9" s="52" t="s">
        <v>126</v>
      </c>
      <c r="E9" s="53" t="s">
        <v>127</v>
      </c>
      <c r="F9" s="48">
        <v>800</v>
      </c>
      <c r="G9" s="48"/>
      <c r="H9" s="48"/>
      <c r="I9" s="53" t="s">
        <v>128</v>
      </c>
      <c r="J9" s="51">
        <v>1</v>
      </c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7">
        <v>20</v>
      </c>
      <c r="AB9" s="57">
        <v>20</v>
      </c>
      <c r="AC9" s="55">
        <v>550</v>
      </c>
      <c r="AD9" s="55">
        <v>0</v>
      </c>
      <c r="AE9" s="55">
        <v>0</v>
      </c>
      <c r="AF9" s="55">
        <v>0</v>
      </c>
      <c r="AG9" s="55" t="s">
        <v>116</v>
      </c>
      <c r="AH9" s="61">
        <v>75</v>
      </c>
      <c r="AI9" s="61">
        <v>75</v>
      </c>
      <c r="AJ9" s="61">
        <v>0.7</v>
      </c>
      <c r="AK9" s="61"/>
      <c r="AL9" s="63" t="s">
        <v>129</v>
      </c>
      <c r="AM9" s="63" t="s">
        <v>130</v>
      </c>
      <c r="AN9" s="63">
        <v>500</v>
      </c>
      <c r="AO9" s="63">
        <v>10</v>
      </c>
      <c r="AP9" s="65" t="s">
        <v>119</v>
      </c>
      <c r="AQ9" s="65" t="s">
        <v>120</v>
      </c>
      <c r="AR9" s="65" t="s">
        <v>121</v>
      </c>
      <c r="AS9" s="65" t="s">
        <v>122</v>
      </c>
      <c r="AT9" s="65">
        <v>900</v>
      </c>
      <c r="AU9" s="65">
        <v>600</v>
      </c>
      <c r="AV9" s="65" t="s">
        <v>123</v>
      </c>
      <c r="AW9" s="65">
        <v>256</v>
      </c>
      <c r="AX9" s="51">
        <v>1</v>
      </c>
      <c r="AY9" s="51">
        <v>1</v>
      </c>
      <c r="AZ9" s="51">
        <v>150</v>
      </c>
      <c r="BA9" s="51">
        <v>60</v>
      </c>
      <c r="BB9" s="51">
        <v>1</v>
      </c>
      <c r="BC9" s="48"/>
    </row>
    <row r="10" s="3" customFormat="1" spans="1:55">
      <c r="A10" s="51" t="s">
        <v>137</v>
      </c>
      <c r="B10" s="51" t="s">
        <v>107</v>
      </c>
      <c r="C10" s="51">
        <v>1</v>
      </c>
      <c r="D10" s="52" t="s">
        <v>126</v>
      </c>
      <c r="E10" s="53" t="s">
        <v>127</v>
      </c>
      <c r="F10" s="48">
        <v>800</v>
      </c>
      <c r="G10" s="48"/>
      <c r="H10" s="48"/>
      <c r="I10" s="53" t="s">
        <v>128</v>
      </c>
      <c r="J10" s="51">
        <v>1</v>
      </c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7">
        <v>20</v>
      </c>
      <c r="AB10" s="57">
        <v>20</v>
      </c>
      <c r="AC10" s="55">
        <v>750</v>
      </c>
      <c r="AD10" s="55">
        <v>0</v>
      </c>
      <c r="AE10" s="55">
        <v>150</v>
      </c>
      <c r="AF10" s="55">
        <v>0</v>
      </c>
      <c r="AG10" s="55" t="s">
        <v>116</v>
      </c>
      <c r="AH10" s="61">
        <v>75</v>
      </c>
      <c r="AI10" s="61">
        <v>75</v>
      </c>
      <c r="AJ10" s="61">
        <v>0.95</v>
      </c>
      <c r="AK10" s="61"/>
      <c r="AL10" s="63" t="s">
        <v>129</v>
      </c>
      <c r="AM10" s="63" t="s">
        <v>130</v>
      </c>
      <c r="AN10" s="63">
        <v>500</v>
      </c>
      <c r="AO10" s="63">
        <v>10</v>
      </c>
      <c r="AP10" s="65" t="s">
        <v>119</v>
      </c>
      <c r="AQ10" s="65" t="s">
        <v>120</v>
      </c>
      <c r="AR10" s="65" t="s">
        <v>121</v>
      </c>
      <c r="AS10" s="65" t="s">
        <v>122</v>
      </c>
      <c r="AT10" s="65">
        <v>900</v>
      </c>
      <c r="AU10" s="65">
        <v>600</v>
      </c>
      <c r="AV10" s="65" t="s">
        <v>123</v>
      </c>
      <c r="AW10" s="65">
        <v>256</v>
      </c>
      <c r="AX10" s="51">
        <v>1</v>
      </c>
      <c r="AY10" s="51">
        <v>1</v>
      </c>
      <c r="AZ10" s="51">
        <v>150</v>
      </c>
      <c r="BA10" s="51">
        <v>60</v>
      </c>
      <c r="BB10" s="51">
        <v>1</v>
      </c>
      <c r="BC10" s="48"/>
    </row>
    <row r="11" s="3" customFormat="1" spans="1:55">
      <c r="A11" s="51" t="s">
        <v>138</v>
      </c>
      <c r="B11" s="51" t="s">
        <v>107</v>
      </c>
      <c r="C11" s="51">
        <v>1</v>
      </c>
      <c r="D11" s="52" t="s">
        <v>126</v>
      </c>
      <c r="E11" s="53" t="s">
        <v>127</v>
      </c>
      <c r="F11" s="48">
        <v>800</v>
      </c>
      <c r="G11" s="48"/>
      <c r="H11" s="48"/>
      <c r="I11" s="53" t="s">
        <v>128</v>
      </c>
      <c r="J11" s="51">
        <v>1</v>
      </c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7">
        <v>25</v>
      </c>
      <c r="AB11" s="57">
        <v>20</v>
      </c>
      <c r="AC11" s="55">
        <v>550</v>
      </c>
      <c r="AD11" s="55">
        <v>0</v>
      </c>
      <c r="AE11" s="55">
        <v>0</v>
      </c>
      <c r="AF11" s="55">
        <v>0</v>
      </c>
      <c r="AG11" s="55" t="s">
        <v>116</v>
      </c>
      <c r="AH11" s="61">
        <v>40</v>
      </c>
      <c r="AI11" s="61">
        <v>40</v>
      </c>
      <c r="AJ11" s="61">
        <v>0.7</v>
      </c>
      <c r="AK11" s="61"/>
      <c r="AL11" s="63" t="s">
        <v>129</v>
      </c>
      <c r="AM11" s="63" t="s">
        <v>130</v>
      </c>
      <c r="AN11" s="63">
        <v>500</v>
      </c>
      <c r="AO11" s="63">
        <v>10</v>
      </c>
      <c r="AP11" s="65" t="s">
        <v>119</v>
      </c>
      <c r="AQ11" s="65" t="s">
        <v>120</v>
      </c>
      <c r="AR11" s="65" t="s">
        <v>121</v>
      </c>
      <c r="AS11" s="65" t="s">
        <v>122</v>
      </c>
      <c r="AT11" s="65">
        <v>900</v>
      </c>
      <c r="AU11" s="65">
        <v>600</v>
      </c>
      <c r="AV11" s="65" t="s">
        <v>123</v>
      </c>
      <c r="AW11" s="65">
        <v>256</v>
      </c>
      <c r="AX11" s="51">
        <v>1</v>
      </c>
      <c r="AY11" s="51">
        <v>1</v>
      </c>
      <c r="AZ11" s="51">
        <v>150</v>
      </c>
      <c r="BA11" s="51">
        <v>60</v>
      </c>
      <c r="BB11" s="51">
        <v>1</v>
      </c>
      <c r="BC11" s="48"/>
    </row>
    <row r="12" s="3" customFormat="1" spans="1:55">
      <c r="A12" s="51" t="s">
        <v>139</v>
      </c>
      <c r="B12" s="51" t="s">
        <v>107</v>
      </c>
      <c r="C12" s="51">
        <v>1</v>
      </c>
      <c r="D12" s="52" t="s">
        <v>126</v>
      </c>
      <c r="E12" s="53" t="s">
        <v>127</v>
      </c>
      <c r="F12" s="48">
        <v>800</v>
      </c>
      <c r="G12" s="48"/>
      <c r="H12" s="48"/>
      <c r="I12" s="53" t="s">
        <v>128</v>
      </c>
      <c r="J12" s="51">
        <v>1</v>
      </c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7">
        <v>20</v>
      </c>
      <c r="AB12" s="57">
        <v>20</v>
      </c>
      <c r="AC12" s="55">
        <v>500</v>
      </c>
      <c r="AD12" s="55">
        <v>0</v>
      </c>
      <c r="AE12" s="55">
        <v>50</v>
      </c>
      <c r="AF12" s="55">
        <v>0</v>
      </c>
      <c r="AG12" s="55" t="s">
        <v>116</v>
      </c>
      <c r="AH12" s="61">
        <v>40</v>
      </c>
      <c r="AI12" s="61">
        <v>40</v>
      </c>
      <c r="AJ12" s="61">
        <v>0.7</v>
      </c>
      <c r="AK12" s="61"/>
      <c r="AL12" s="63" t="s">
        <v>129</v>
      </c>
      <c r="AM12" s="63" t="s">
        <v>130</v>
      </c>
      <c r="AN12" s="63">
        <v>500</v>
      </c>
      <c r="AO12" s="63">
        <v>10</v>
      </c>
      <c r="AP12" s="65" t="s">
        <v>119</v>
      </c>
      <c r="AQ12" s="65" t="s">
        <v>120</v>
      </c>
      <c r="AR12" s="65" t="s">
        <v>121</v>
      </c>
      <c r="AS12" s="65" t="s">
        <v>122</v>
      </c>
      <c r="AT12" s="65">
        <v>900</v>
      </c>
      <c r="AU12" s="65">
        <v>600</v>
      </c>
      <c r="AV12" s="65" t="s">
        <v>123</v>
      </c>
      <c r="AW12" s="65">
        <v>256</v>
      </c>
      <c r="AX12" s="51">
        <v>1</v>
      </c>
      <c r="AY12" s="51">
        <v>1</v>
      </c>
      <c r="AZ12" s="51">
        <v>150</v>
      </c>
      <c r="BA12" s="51">
        <v>60</v>
      </c>
      <c r="BB12" s="51">
        <v>1</v>
      </c>
      <c r="BC12" s="48"/>
    </row>
    <row r="13" s="3" customFormat="1" spans="1:55">
      <c r="A13" s="51" t="s">
        <v>140</v>
      </c>
      <c r="B13" s="51" t="s">
        <v>107</v>
      </c>
      <c r="C13" s="51">
        <v>1</v>
      </c>
      <c r="D13" s="52" t="s">
        <v>126</v>
      </c>
      <c r="E13" s="53" t="s">
        <v>127</v>
      </c>
      <c r="F13" s="48">
        <v>800</v>
      </c>
      <c r="G13" s="48"/>
      <c r="H13" s="48"/>
      <c r="I13" s="53" t="s">
        <v>128</v>
      </c>
      <c r="J13" s="51">
        <v>1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7">
        <v>25</v>
      </c>
      <c r="AB13" s="57">
        <v>20</v>
      </c>
      <c r="AC13" s="55">
        <v>500</v>
      </c>
      <c r="AD13" s="55">
        <v>0</v>
      </c>
      <c r="AE13" s="55">
        <v>75</v>
      </c>
      <c r="AF13" s="55">
        <v>0</v>
      </c>
      <c r="AG13" s="55" t="s">
        <v>116</v>
      </c>
      <c r="AH13" s="61">
        <v>60</v>
      </c>
      <c r="AI13" s="61">
        <v>60</v>
      </c>
      <c r="AJ13" s="61">
        <v>0.7</v>
      </c>
      <c r="AK13" s="61"/>
      <c r="AL13" s="63" t="s">
        <v>129</v>
      </c>
      <c r="AM13" s="63" t="s">
        <v>130</v>
      </c>
      <c r="AN13" s="63">
        <v>500</v>
      </c>
      <c r="AO13" s="63">
        <v>10</v>
      </c>
      <c r="AP13" s="65" t="s">
        <v>119</v>
      </c>
      <c r="AQ13" s="65" t="s">
        <v>120</v>
      </c>
      <c r="AR13" s="65" t="s">
        <v>121</v>
      </c>
      <c r="AS13" s="65" t="s">
        <v>122</v>
      </c>
      <c r="AT13" s="65">
        <v>900</v>
      </c>
      <c r="AU13" s="65">
        <v>600</v>
      </c>
      <c r="AV13" s="65" t="s">
        <v>123</v>
      </c>
      <c r="AW13" s="65">
        <v>256</v>
      </c>
      <c r="AX13" s="51">
        <v>1</v>
      </c>
      <c r="AY13" s="51">
        <v>1</v>
      </c>
      <c r="AZ13" s="51">
        <v>150</v>
      </c>
      <c r="BA13" s="51">
        <v>60</v>
      </c>
      <c r="BB13" s="51">
        <v>1</v>
      </c>
      <c r="BC13" s="48"/>
    </row>
    <row r="14" s="3" customFormat="1" spans="1:55">
      <c r="A14" s="51" t="s">
        <v>141</v>
      </c>
      <c r="B14" s="51" t="s">
        <v>107</v>
      </c>
      <c r="C14" s="51">
        <v>1</v>
      </c>
      <c r="D14" s="52" t="s">
        <v>126</v>
      </c>
      <c r="E14" s="53" t="s">
        <v>127</v>
      </c>
      <c r="F14" s="48">
        <v>800</v>
      </c>
      <c r="G14" s="48"/>
      <c r="H14" s="48"/>
      <c r="I14" s="53" t="s">
        <v>128</v>
      </c>
      <c r="J14" s="51">
        <v>1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7">
        <v>20</v>
      </c>
      <c r="AB14" s="57">
        <v>20</v>
      </c>
      <c r="AC14" s="55">
        <v>550</v>
      </c>
      <c r="AD14" s="55">
        <v>0</v>
      </c>
      <c r="AE14" s="55">
        <v>125</v>
      </c>
      <c r="AF14" s="55">
        <v>0</v>
      </c>
      <c r="AG14" s="55" t="s">
        <v>116</v>
      </c>
      <c r="AH14" s="61">
        <v>65</v>
      </c>
      <c r="AI14" s="61">
        <v>65</v>
      </c>
      <c r="AJ14" s="61">
        <v>0.7</v>
      </c>
      <c r="AK14" s="61"/>
      <c r="AL14" s="63" t="s">
        <v>129</v>
      </c>
      <c r="AM14" s="63" t="s">
        <v>130</v>
      </c>
      <c r="AN14" s="63">
        <v>500</v>
      </c>
      <c r="AO14" s="63">
        <v>10</v>
      </c>
      <c r="AP14" s="65" t="s">
        <v>119</v>
      </c>
      <c r="AQ14" s="65" t="s">
        <v>120</v>
      </c>
      <c r="AR14" s="65" t="s">
        <v>121</v>
      </c>
      <c r="AS14" s="65" t="s">
        <v>122</v>
      </c>
      <c r="AT14" s="65">
        <v>900</v>
      </c>
      <c r="AU14" s="65">
        <v>600</v>
      </c>
      <c r="AV14" s="65" t="s">
        <v>123</v>
      </c>
      <c r="AW14" s="65">
        <v>256</v>
      </c>
      <c r="AX14" s="51">
        <v>1</v>
      </c>
      <c r="AY14" s="51">
        <v>1</v>
      </c>
      <c r="AZ14" s="51">
        <v>150</v>
      </c>
      <c r="BA14" s="51">
        <v>60</v>
      </c>
      <c r="BB14" s="51">
        <v>1</v>
      </c>
      <c r="BC14" s="48"/>
    </row>
    <row r="15" s="3" customFormat="1" spans="1:55">
      <c r="A15" s="51" t="s">
        <v>142</v>
      </c>
      <c r="B15" s="51" t="s">
        <v>107</v>
      </c>
      <c r="C15" s="51">
        <v>1</v>
      </c>
      <c r="D15" s="52" t="s">
        <v>126</v>
      </c>
      <c r="E15" s="53" t="s">
        <v>127</v>
      </c>
      <c r="F15" s="48">
        <v>800</v>
      </c>
      <c r="G15" s="48"/>
      <c r="H15" s="48"/>
      <c r="I15" s="53" t="s">
        <v>128</v>
      </c>
      <c r="J15" s="51">
        <v>1</v>
      </c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7">
        <v>20</v>
      </c>
      <c r="AB15" s="57">
        <v>20</v>
      </c>
      <c r="AC15" s="55">
        <v>600</v>
      </c>
      <c r="AD15" s="55">
        <v>0</v>
      </c>
      <c r="AE15" s="55">
        <v>150</v>
      </c>
      <c r="AF15" s="55">
        <v>50</v>
      </c>
      <c r="AG15" s="55" t="s">
        <v>116</v>
      </c>
      <c r="AH15" s="61">
        <v>60</v>
      </c>
      <c r="AI15" s="61">
        <v>60</v>
      </c>
      <c r="AJ15" s="61">
        <v>0.7</v>
      </c>
      <c r="AK15" s="61"/>
      <c r="AL15" s="63" t="s">
        <v>129</v>
      </c>
      <c r="AM15" s="63" t="s">
        <v>130</v>
      </c>
      <c r="AN15" s="63">
        <v>500</v>
      </c>
      <c r="AO15" s="63">
        <v>10</v>
      </c>
      <c r="AP15" s="65" t="s">
        <v>119</v>
      </c>
      <c r="AQ15" s="65" t="s">
        <v>120</v>
      </c>
      <c r="AR15" s="65" t="s">
        <v>121</v>
      </c>
      <c r="AS15" s="65" t="s">
        <v>122</v>
      </c>
      <c r="AT15" s="65">
        <v>900</v>
      </c>
      <c r="AU15" s="65">
        <v>600</v>
      </c>
      <c r="AV15" s="65" t="s">
        <v>123</v>
      </c>
      <c r="AW15" s="65">
        <v>256</v>
      </c>
      <c r="AX15" s="51">
        <v>1</v>
      </c>
      <c r="AY15" s="51">
        <v>1</v>
      </c>
      <c r="AZ15" s="51">
        <v>150</v>
      </c>
      <c r="BA15" s="51">
        <v>60</v>
      </c>
      <c r="BB15" s="51">
        <v>1</v>
      </c>
      <c r="BC15" s="48"/>
    </row>
    <row r="16" s="3" customFormat="1" spans="1:55">
      <c r="A16" s="51" t="s">
        <v>143</v>
      </c>
      <c r="B16" s="51" t="s">
        <v>107</v>
      </c>
      <c r="C16" s="51">
        <v>1</v>
      </c>
      <c r="D16" s="52" t="s">
        <v>126</v>
      </c>
      <c r="E16" s="53" t="s">
        <v>127</v>
      </c>
      <c r="F16" s="48">
        <v>800</v>
      </c>
      <c r="G16" s="48"/>
      <c r="H16" s="48"/>
      <c r="I16" s="53" t="s">
        <v>128</v>
      </c>
      <c r="J16" s="51">
        <v>1</v>
      </c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7">
        <v>20</v>
      </c>
      <c r="AB16" s="57">
        <v>20</v>
      </c>
      <c r="AC16" s="55">
        <v>700</v>
      </c>
      <c r="AD16" s="55">
        <v>0</v>
      </c>
      <c r="AE16" s="55">
        <v>125</v>
      </c>
      <c r="AF16" s="55">
        <v>50</v>
      </c>
      <c r="AG16" s="55" t="s">
        <v>116</v>
      </c>
      <c r="AH16" s="61">
        <v>55</v>
      </c>
      <c r="AI16" s="61">
        <v>55</v>
      </c>
      <c r="AJ16" s="61">
        <v>1.25</v>
      </c>
      <c r="AK16" s="61"/>
      <c r="AL16" s="63" t="s">
        <v>129</v>
      </c>
      <c r="AM16" s="63" t="s">
        <v>130</v>
      </c>
      <c r="AN16" s="63">
        <v>500</v>
      </c>
      <c r="AO16" s="63">
        <v>10</v>
      </c>
      <c r="AP16" s="65" t="s">
        <v>119</v>
      </c>
      <c r="AQ16" s="65" t="s">
        <v>120</v>
      </c>
      <c r="AR16" s="65" t="s">
        <v>121</v>
      </c>
      <c r="AS16" s="65" t="s">
        <v>122</v>
      </c>
      <c r="AT16" s="65">
        <v>900</v>
      </c>
      <c r="AU16" s="65">
        <v>600</v>
      </c>
      <c r="AV16" s="65" t="s">
        <v>123</v>
      </c>
      <c r="AW16" s="65">
        <v>256</v>
      </c>
      <c r="AX16" s="51">
        <v>1</v>
      </c>
      <c r="AY16" s="51">
        <v>1</v>
      </c>
      <c r="AZ16" s="51">
        <v>150</v>
      </c>
      <c r="BA16" s="51">
        <v>60</v>
      </c>
      <c r="BB16" s="51">
        <v>1</v>
      </c>
      <c r="BC16" s="48"/>
    </row>
    <row r="17" s="3" customFormat="1" spans="1:55">
      <c r="A17" s="51" t="s">
        <v>144</v>
      </c>
      <c r="B17" s="51" t="s">
        <v>107</v>
      </c>
      <c r="C17" s="51">
        <v>1</v>
      </c>
      <c r="D17" s="52" t="s">
        <v>126</v>
      </c>
      <c r="E17" s="53" t="s">
        <v>127</v>
      </c>
      <c r="F17" s="48">
        <v>800</v>
      </c>
      <c r="G17" s="48"/>
      <c r="H17" s="48"/>
      <c r="I17" s="53" t="s">
        <v>128</v>
      </c>
      <c r="J17" s="51">
        <v>1</v>
      </c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7">
        <v>20</v>
      </c>
      <c r="AB17" s="57">
        <v>20</v>
      </c>
      <c r="AC17" s="55">
        <v>500</v>
      </c>
      <c r="AD17" s="55">
        <v>0</v>
      </c>
      <c r="AE17" s="55">
        <v>100</v>
      </c>
      <c r="AF17" s="55">
        <v>0</v>
      </c>
      <c r="AG17" s="55" t="s">
        <v>116</v>
      </c>
      <c r="AH17" s="61">
        <v>45</v>
      </c>
      <c r="AI17" s="61">
        <v>45</v>
      </c>
      <c r="AJ17" s="61">
        <v>0.6</v>
      </c>
      <c r="AK17" s="61"/>
      <c r="AL17" s="63" t="s">
        <v>129</v>
      </c>
      <c r="AM17" s="63" t="s">
        <v>130</v>
      </c>
      <c r="AN17" s="63">
        <v>500</v>
      </c>
      <c r="AO17" s="63">
        <v>10</v>
      </c>
      <c r="AP17" s="65" t="s">
        <v>119</v>
      </c>
      <c r="AQ17" s="65" t="s">
        <v>120</v>
      </c>
      <c r="AR17" s="65" t="s">
        <v>121</v>
      </c>
      <c r="AS17" s="65" t="s">
        <v>122</v>
      </c>
      <c r="AT17" s="65">
        <v>900</v>
      </c>
      <c r="AU17" s="65">
        <v>600</v>
      </c>
      <c r="AV17" s="65" t="s">
        <v>123</v>
      </c>
      <c r="AW17" s="65">
        <v>256</v>
      </c>
      <c r="AX17" s="51">
        <v>1</v>
      </c>
      <c r="AY17" s="51">
        <v>1</v>
      </c>
      <c r="AZ17" s="51">
        <v>150</v>
      </c>
      <c r="BA17" s="51">
        <v>60</v>
      </c>
      <c r="BB17" s="51">
        <v>1</v>
      </c>
      <c r="BC17" s="48"/>
    </row>
    <row r="18" s="3" customFormat="1" spans="1:55">
      <c r="A18" s="51" t="s">
        <v>145</v>
      </c>
      <c r="B18" s="51" t="s">
        <v>107</v>
      </c>
      <c r="C18" s="51">
        <v>1</v>
      </c>
      <c r="D18" s="52" t="s">
        <v>126</v>
      </c>
      <c r="E18" s="53" t="s">
        <v>127</v>
      </c>
      <c r="F18" s="48">
        <v>800</v>
      </c>
      <c r="G18" s="48"/>
      <c r="H18" s="48"/>
      <c r="I18" s="53" t="s">
        <v>128</v>
      </c>
      <c r="J18" s="51">
        <v>1</v>
      </c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7">
        <v>30</v>
      </c>
      <c r="AB18" s="57">
        <v>20</v>
      </c>
      <c r="AC18" s="55">
        <v>650</v>
      </c>
      <c r="AD18" s="55">
        <v>0</v>
      </c>
      <c r="AE18" s="55">
        <v>150</v>
      </c>
      <c r="AF18" s="55">
        <v>50</v>
      </c>
      <c r="AG18" s="55" t="s">
        <v>116</v>
      </c>
      <c r="AH18" s="61">
        <v>50</v>
      </c>
      <c r="AI18" s="61">
        <v>50</v>
      </c>
      <c r="AJ18" s="61">
        <v>0.6</v>
      </c>
      <c r="AK18" s="61"/>
      <c r="AL18" s="63" t="s">
        <v>129</v>
      </c>
      <c r="AM18" s="63" t="s">
        <v>130</v>
      </c>
      <c r="AN18" s="63">
        <v>500</v>
      </c>
      <c r="AO18" s="63">
        <v>10</v>
      </c>
      <c r="AP18" s="65" t="s">
        <v>119</v>
      </c>
      <c r="AQ18" s="65" t="s">
        <v>120</v>
      </c>
      <c r="AR18" s="65" t="s">
        <v>121</v>
      </c>
      <c r="AS18" s="65" t="s">
        <v>122</v>
      </c>
      <c r="AT18" s="65">
        <v>900</v>
      </c>
      <c r="AU18" s="65">
        <v>600</v>
      </c>
      <c r="AV18" s="65" t="s">
        <v>123</v>
      </c>
      <c r="AW18" s="65">
        <v>256</v>
      </c>
      <c r="AX18" s="51">
        <v>1</v>
      </c>
      <c r="AY18" s="51">
        <v>1</v>
      </c>
      <c r="AZ18" s="51">
        <v>150</v>
      </c>
      <c r="BA18" s="51">
        <v>60</v>
      </c>
      <c r="BB18" s="51">
        <v>1</v>
      </c>
      <c r="BC18" s="48"/>
    </row>
    <row r="19" s="3" customFormat="1" spans="1:55">
      <c r="A19" s="51" t="s">
        <v>146</v>
      </c>
      <c r="B19" s="51" t="s">
        <v>107</v>
      </c>
      <c r="C19" s="51">
        <v>1</v>
      </c>
      <c r="D19" s="52" t="s">
        <v>126</v>
      </c>
      <c r="E19" s="53" t="s">
        <v>127</v>
      </c>
      <c r="F19" s="48">
        <v>800</v>
      </c>
      <c r="G19" s="48"/>
      <c r="H19" s="48"/>
      <c r="I19" s="53" t="s">
        <v>128</v>
      </c>
      <c r="J19" s="51">
        <v>1</v>
      </c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7">
        <v>20</v>
      </c>
      <c r="AB19" s="57">
        <v>20</v>
      </c>
      <c r="AC19" s="55">
        <v>550</v>
      </c>
      <c r="AD19" s="55">
        <v>0</v>
      </c>
      <c r="AE19" s="55">
        <v>75</v>
      </c>
      <c r="AF19" s="55">
        <v>0</v>
      </c>
      <c r="AG19" s="55" t="s">
        <v>116</v>
      </c>
      <c r="AH19" s="61">
        <v>70</v>
      </c>
      <c r="AI19" s="61">
        <v>70</v>
      </c>
      <c r="AJ19" s="61">
        <v>0.6</v>
      </c>
      <c r="AK19" s="61"/>
      <c r="AL19" s="63" t="s">
        <v>134</v>
      </c>
      <c r="AM19" s="63" t="s">
        <v>130</v>
      </c>
      <c r="AN19" s="63">
        <v>500</v>
      </c>
      <c r="AO19" s="63">
        <v>10</v>
      </c>
      <c r="AP19" s="65" t="s">
        <v>119</v>
      </c>
      <c r="AQ19" s="65" t="s">
        <v>120</v>
      </c>
      <c r="AR19" s="65" t="s">
        <v>121</v>
      </c>
      <c r="AS19" s="65" t="s">
        <v>122</v>
      </c>
      <c r="AT19" s="65">
        <v>900</v>
      </c>
      <c r="AU19" s="65">
        <v>600</v>
      </c>
      <c r="AV19" s="65" t="s">
        <v>123</v>
      </c>
      <c r="AW19" s="65">
        <v>256</v>
      </c>
      <c r="AX19" s="51">
        <v>1</v>
      </c>
      <c r="AY19" s="51">
        <v>1</v>
      </c>
      <c r="AZ19" s="51">
        <v>150</v>
      </c>
      <c r="BA19" s="51">
        <v>60</v>
      </c>
      <c r="BB19" s="51">
        <v>1</v>
      </c>
      <c r="BC19" s="48"/>
    </row>
    <row r="20" s="3" customFormat="1" spans="1:55">
      <c r="A20" s="51" t="s">
        <v>147</v>
      </c>
      <c r="B20" s="51" t="s">
        <v>107</v>
      </c>
      <c r="C20" s="51">
        <v>1</v>
      </c>
      <c r="D20" s="52" t="s">
        <v>126</v>
      </c>
      <c r="E20" s="53" t="s">
        <v>127</v>
      </c>
      <c r="F20" s="48">
        <v>800</v>
      </c>
      <c r="G20" s="48"/>
      <c r="H20" s="48"/>
      <c r="I20" s="53" t="s">
        <v>128</v>
      </c>
      <c r="J20" s="51">
        <v>1</v>
      </c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7">
        <v>25</v>
      </c>
      <c r="AB20" s="57">
        <v>20</v>
      </c>
      <c r="AC20" s="55">
        <v>700</v>
      </c>
      <c r="AD20" s="55">
        <v>0</v>
      </c>
      <c r="AE20" s="55">
        <v>150</v>
      </c>
      <c r="AF20" s="55">
        <v>50</v>
      </c>
      <c r="AG20" s="55" t="s">
        <v>116</v>
      </c>
      <c r="AH20" s="61">
        <v>60</v>
      </c>
      <c r="AI20" s="61">
        <v>60</v>
      </c>
      <c r="AJ20" s="61">
        <v>0.6</v>
      </c>
      <c r="AK20" s="61"/>
      <c r="AL20" s="63" t="s">
        <v>129</v>
      </c>
      <c r="AM20" s="63" t="s">
        <v>130</v>
      </c>
      <c r="AN20" s="63">
        <v>500</v>
      </c>
      <c r="AO20" s="63">
        <v>10</v>
      </c>
      <c r="AP20" s="65" t="s">
        <v>119</v>
      </c>
      <c r="AQ20" s="65" t="s">
        <v>120</v>
      </c>
      <c r="AR20" s="65" t="s">
        <v>121</v>
      </c>
      <c r="AS20" s="65" t="s">
        <v>122</v>
      </c>
      <c r="AT20" s="65">
        <v>900</v>
      </c>
      <c r="AU20" s="65">
        <v>600</v>
      </c>
      <c r="AV20" s="65" t="s">
        <v>123</v>
      </c>
      <c r="AW20" s="65">
        <v>256</v>
      </c>
      <c r="AX20" s="51">
        <v>1</v>
      </c>
      <c r="AY20" s="51">
        <v>1</v>
      </c>
      <c r="AZ20" s="51">
        <v>150</v>
      </c>
      <c r="BA20" s="51">
        <v>60</v>
      </c>
      <c r="BB20" s="51">
        <v>1</v>
      </c>
      <c r="BC20" s="48"/>
    </row>
    <row r="21" s="3" customFormat="1" spans="1:55">
      <c r="A21" s="51" t="s">
        <v>148</v>
      </c>
      <c r="B21" s="51" t="s">
        <v>107</v>
      </c>
      <c r="C21" s="51">
        <v>1</v>
      </c>
      <c r="D21" s="52" t="s">
        <v>126</v>
      </c>
      <c r="E21" s="53" t="s">
        <v>127</v>
      </c>
      <c r="F21" s="48">
        <v>800</v>
      </c>
      <c r="G21" s="48"/>
      <c r="H21" s="48"/>
      <c r="I21" s="53" t="s">
        <v>128</v>
      </c>
      <c r="J21" s="51">
        <v>1</v>
      </c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7">
        <v>25</v>
      </c>
      <c r="AB21" s="57">
        <v>20</v>
      </c>
      <c r="AC21" s="55">
        <v>850</v>
      </c>
      <c r="AD21" s="55">
        <v>0</v>
      </c>
      <c r="AE21" s="55">
        <v>100</v>
      </c>
      <c r="AF21" s="55">
        <v>0</v>
      </c>
      <c r="AG21" s="55" t="s">
        <v>116</v>
      </c>
      <c r="AH21" s="61">
        <v>65</v>
      </c>
      <c r="AI21" s="61">
        <v>65</v>
      </c>
      <c r="AJ21" s="61">
        <v>0.65</v>
      </c>
      <c r="AK21" s="61"/>
      <c r="AL21" s="63" t="s">
        <v>129</v>
      </c>
      <c r="AM21" s="63" t="s">
        <v>130</v>
      </c>
      <c r="AN21" s="63">
        <v>500</v>
      </c>
      <c r="AO21" s="63">
        <v>10</v>
      </c>
      <c r="AP21" s="65" t="s">
        <v>119</v>
      </c>
      <c r="AQ21" s="65" t="s">
        <v>120</v>
      </c>
      <c r="AR21" s="65" t="s">
        <v>121</v>
      </c>
      <c r="AS21" s="65" t="s">
        <v>122</v>
      </c>
      <c r="AT21" s="65">
        <v>900</v>
      </c>
      <c r="AU21" s="65">
        <v>600</v>
      </c>
      <c r="AV21" s="65" t="s">
        <v>123</v>
      </c>
      <c r="AW21" s="65">
        <v>256</v>
      </c>
      <c r="AX21" s="51">
        <v>1</v>
      </c>
      <c r="AY21" s="51">
        <v>1</v>
      </c>
      <c r="AZ21" s="51">
        <v>150</v>
      </c>
      <c r="BA21" s="51">
        <v>60</v>
      </c>
      <c r="BB21" s="51">
        <v>1</v>
      </c>
      <c r="BC21" s="48"/>
    </row>
    <row r="22" s="3" customFormat="1" spans="1:55">
      <c r="A22" s="51" t="s">
        <v>149</v>
      </c>
      <c r="B22" s="51" t="s">
        <v>107</v>
      </c>
      <c r="C22" s="51">
        <v>1</v>
      </c>
      <c r="D22" s="52" t="s">
        <v>126</v>
      </c>
      <c r="E22" s="53" t="s">
        <v>127</v>
      </c>
      <c r="F22" s="48">
        <v>800</v>
      </c>
      <c r="G22" s="48"/>
      <c r="H22" s="48"/>
      <c r="I22" s="53" t="s">
        <v>128</v>
      </c>
      <c r="J22" s="51">
        <v>1</v>
      </c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7">
        <v>40</v>
      </c>
      <c r="AB22" s="57">
        <v>20</v>
      </c>
      <c r="AC22" s="55">
        <v>600</v>
      </c>
      <c r="AD22" s="55">
        <v>0</v>
      </c>
      <c r="AE22" s="55">
        <v>100</v>
      </c>
      <c r="AF22" s="55">
        <v>0</v>
      </c>
      <c r="AG22" s="55" t="s">
        <v>116</v>
      </c>
      <c r="AH22" s="61">
        <v>50</v>
      </c>
      <c r="AI22" s="61">
        <v>50</v>
      </c>
      <c r="AJ22" s="61">
        <v>0.6</v>
      </c>
      <c r="AK22" s="61"/>
      <c r="AL22" s="63" t="s">
        <v>134</v>
      </c>
      <c r="AM22" s="63" t="s">
        <v>130</v>
      </c>
      <c r="AN22" s="63">
        <v>500</v>
      </c>
      <c r="AO22" s="63">
        <v>10</v>
      </c>
      <c r="AP22" s="65" t="s">
        <v>119</v>
      </c>
      <c r="AQ22" s="65" t="s">
        <v>120</v>
      </c>
      <c r="AR22" s="65" t="s">
        <v>121</v>
      </c>
      <c r="AS22" s="65" t="s">
        <v>122</v>
      </c>
      <c r="AT22" s="65">
        <v>900</v>
      </c>
      <c r="AU22" s="65">
        <v>600</v>
      </c>
      <c r="AV22" s="65" t="s">
        <v>123</v>
      </c>
      <c r="AW22" s="65">
        <v>256</v>
      </c>
      <c r="AX22" s="51">
        <v>1</v>
      </c>
      <c r="AY22" s="51">
        <v>1</v>
      </c>
      <c r="AZ22" s="51">
        <v>150</v>
      </c>
      <c r="BA22" s="51">
        <v>60</v>
      </c>
      <c r="BB22" s="51">
        <v>1</v>
      </c>
      <c r="BC22" s="48"/>
    </row>
    <row r="23" s="3" customFormat="1" spans="1:55">
      <c r="A23" s="51" t="s">
        <v>150</v>
      </c>
      <c r="B23" s="51" t="s">
        <v>107</v>
      </c>
      <c r="C23" s="51">
        <v>1</v>
      </c>
      <c r="D23" s="52" t="s">
        <v>126</v>
      </c>
      <c r="E23" s="53" t="s">
        <v>127</v>
      </c>
      <c r="F23" s="48">
        <v>800</v>
      </c>
      <c r="G23" s="48"/>
      <c r="H23" s="48"/>
      <c r="I23" s="53" t="s">
        <v>128</v>
      </c>
      <c r="J23" s="51">
        <v>1</v>
      </c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7">
        <v>25</v>
      </c>
      <c r="AB23" s="57">
        <v>20</v>
      </c>
      <c r="AC23" s="55">
        <v>450</v>
      </c>
      <c r="AD23" s="55">
        <v>0</v>
      </c>
      <c r="AE23" s="55">
        <v>75</v>
      </c>
      <c r="AF23" s="55">
        <v>0</v>
      </c>
      <c r="AG23" s="55" t="s">
        <v>116</v>
      </c>
      <c r="AH23" s="61">
        <v>40</v>
      </c>
      <c r="AI23" s="61">
        <v>40</v>
      </c>
      <c r="AJ23" s="61">
        <v>1</v>
      </c>
      <c r="AK23" s="61"/>
      <c r="AL23" s="63" t="s">
        <v>134</v>
      </c>
      <c r="AM23" s="63" t="s">
        <v>130</v>
      </c>
      <c r="AN23" s="63">
        <v>500</v>
      </c>
      <c r="AO23" s="63">
        <v>10</v>
      </c>
      <c r="AP23" s="65" t="s">
        <v>119</v>
      </c>
      <c r="AQ23" s="65" t="s">
        <v>120</v>
      </c>
      <c r="AR23" s="65" t="s">
        <v>121</v>
      </c>
      <c r="AS23" s="65" t="s">
        <v>122</v>
      </c>
      <c r="AT23" s="65">
        <v>900</v>
      </c>
      <c r="AU23" s="65">
        <v>600</v>
      </c>
      <c r="AV23" s="65" t="s">
        <v>123</v>
      </c>
      <c r="AW23" s="65">
        <v>256</v>
      </c>
      <c r="AX23" s="51">
        <v>1</v>
      </c>
      <c r="AY23" s="51">
        <v>1</v>
      </c>
      <c r="AZ23" s="51">
        <v>150</v>
      </c>
      <c r="BA23" s="51">
        <v>60</v>
      </c>
      <c r="BB23" s="51">
        <v>1</v>
      </c>
      <c r="BC23" s="48"/>
    </row>
    <row r="24" s="3" customFormat="1" spans="1:55">
      <c r="A24" s="51" t="s">
        <v>151</v>
      </c>
      <c r="B24" s="51" t="s">
        <v>107</v>
      </c>
      <c r="C24" s="51">
        <v>1</v>
      </c>
      <c r="D24" s="52" t="s">
        <v>126</v>
      </c>
      <c r="E24" s="53" t="s">
        <v>127</v>
      </c>
      <c r="F24" s="48">
        <v>800</v>
      </c>
      <c r="G24" s="48"/>
      <c r="H24" s="48"/>
      <c r="I24" s="53" t="s">
        <v>128</v>
      </c>
      <c r="J24" s="51">
        <v>1</v>
      </c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7">
        <v>50</v>
      </c>
      <c r="AB24" s="57">
        <v>50</v>
      </c>
      <c r="AC24" s="55">
        <v>800</v>
      </c>
      <c r="AD24" s="55">
        <v>0</v>
      </c>
      <c r="AE24" s="55">
        <v>90</v>
      </c>
      <c r="AF24" s="55">
        <v>50</v>
      </c>
      <c r="AG24" s="55" t="s">
        <v>116</v>
      </c>
      <c r="AH24" s="61">
        <v>55</v>
      </c>
      <c r="AI24" s="61">
        <v>55</v>
      </c>
      <c r="AJ24" s="61">
        <v>0.6</v>
      </c>
      <c r="AK24" s="61"/>
      <c r="AL24" s="63" t="s">
        <v>134</v>
      </c>
      <c r="AM24" s="63" t="s">
        <v>130</v>
      </c>
      <c r="AN24" s="63">
        <v>500</v>
      </c>
      <c r="AO24" s="63">
        <v>10</v>
      </c>
      <c r="AP24" s="65" t="s">
        <v>119</v>
      </c>
      <c r="AQ24" s="65" t="s">
        <v>120</v>
      </c>
      <c r="AR24" s="65" t="s">
        <v>121</v>
      </c>
      <c r="AS24" s="65" t="s">
        <v>122</v>
      </c>
      <c r="AT24" s="65">
        <v>900</v>
      </c>
      <c r="AU24" s="65">
        <v>600</v>
      </c>
      <c r="AV24" s="65" t="s">
        <v>123</v>
      </c>
      <c r="AW24" s="65">
        <v>256</v>
      </c>
      <c r="AX24" s="51">
        <v>1</v>
      </c>
      <c r="AY24" s="51">
        <v>1</v>
      </c>
      <c r="AZ24" s="51">
        <v>150</v>
      </c>
      <c r="BA24" s="51">
        <v>60</v>
      </c>
      <c r="BB24" s="51">
        <v>1</v>
      </c>
      <c r="BC24" s="48"/>
    </row>
    <row r="25" s="3" customFormat="1" spans="1:55">
      <c r="A25" s="51" t="s">
        <v>152</v>
      </c>
      <c r="B25" s="51" t="s">
        <v>107</v>
      </c>
      <c r="C25" s="51">
        <v>1</v>
      </c>
      <c r="D25" s="52" t="s">
        <v>126</v>
      </c>
      <c r="E25" s="53" t="s">
        <v>127</v>
      </c>
      <c r="F25" s="48">
        <v>800</v>
      </c>
      <c r="G25" s="48"/>
      <c r="H25" s="48"/>
      <c r="I25" s="53" t="s">
        <v>128</v>
      </c>
      <c r="J25" s="51">
        <v>1</v>
      </c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7">
        <v>75</v>
      </c>
      <c r="AB25" s="57">
        <v>20</v>
      </c>
      <c r="AC25" s="55">
        <v>650</v>
      </c>
      <c r="AD25" s="55">
        <v>0</v>
      </c>
      <c r="AE25" s="55">
        <v>75</v>
      </c>
      <c r="AF25" s="55">
        <v>0</v>
      </c>
      <c r="AG25" s="55" t="s">
        <v>116</v>
      </c>
      <c r="AH25" s="61">
        <v>40</v>
      </c>
      <c r="AI25" s="61">
        <v>40</v>
      </c>
      <c r="AJ25" s="61">
        <v>0.6</v>
      </c>
      <c r="AK25" s="61"/>
      <c r="AL25" s="63" t="s">
        <v>134</v>
      </c>
      <c r="AM25" s="63" t="s">
        <v>130</v>
      </c>
      <c r="AN25" s="63">
        <v>500</v>
      </c>
      <c r="AO25" s="63">
        <v>10</v>
      </c>
      <c r="AP25" s="65" t="s">
        <v>119</v>
      </c>
      <c r="AQ25" s="65" t="s">
        <v>120</v>
      </c>
      <c r="AR25" s="65" t="s">
        <v>121</v>
      </c>
      <c r="AS25" s="65" t="s">
        <v>122</v>
      </c>
      <c r="AT25" s="65">
        <v>900</v>
      </c>
      <c r="AU25" s="65">
        <v>600</v>
      </c>
      <c r="AV25" s="65" t="s">
        <v>123</v>
      </c>
      <c r="AW25" s="65">
        <v>256</v>
      </c>
      <c r="AX25" s="51">
        <v>1</v>
      </c>
      <c r="AY25" s="51">
        <v>1</v>
      </c>
      <c r="AZ25" s="51">
        <v>150</v>
      </c>
      <c r="BA25" s="51">
        <v>60</v>
      </c>
      <c r="BB25" s="51">
        <v>1</v>
      </c>
      <c r="BC25" s="48"/>
    </row>
    <row r="26" s="3" customFormat="1" spans="1:55">
      <c r="A26" s="51" t="s">
        <v>153</v>
      </c>
      <c r="B26" s="51" t="s">
        <v>107</v>
      </c>
      <c r="C26" s="51">
        <v>1</v>
      </c>
      <c r="D26" s="52" t="s">
        <v>126</v>
      </c>
      <c r="E26" s="53" t="s">
        <v>127</v>
      </c>
      <c r="F26" s="48">
        <v>800</v>
      </c>
      <c r="G26" s="48"/>
      <c r="H26" s="48"/>
      <c r="I26" s="53" t="s">
        <v>128</v>
      </c>
      <c r="J26" s="51">
        <v>1</v>
      </c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7">
        <v>40</v>
      </c>
      <c r="AB26" s="57">
        <v>20</v>
      </c>
      <c r="AC26" s="55">
        <v>750</v>
      </c>
      <c r="AD26" s="55">
        <v>0</v>
      </c>
      <c r="AE26" s="55">
        <v>125</v>
      </c>
      <c r="AF26" s="55">
        <v>50</v>
      </c>
      <c r="AG26" s="55" t="s">
        <v>116</v>
      </c>
      <c r="AH26" s="61">
        <v>70</v>
      </c>
      <c r="AI26" s="61">
        <v>70</v>
      </c>
      <c r="AJ26" s="61">
        <v>1</v>
      </c>
      <c r="AK26" s="61"/>
      <c r="AL26" s="63" t="s">
        <v>129</v>
      </c>
      <c r="AM26" s="63" t="s">
        <v>130</v>
      </c>
      <c r="AN26" s="63">
        <v>500</v>
      </c>
      <c r="AO26" s="63">
        <v>10</v>
      </c>
      <c r="AP26" s="65" t="s">
        <v>119</v>
      </c>
      <c r="AQ26" s="65" t="s">
        <v>120</v>
      </c>
      <c r="AR26" s="65" t="s">
        <v>121</v>
      </c>
      <c r="AS26" s="65" t="s">
        <v>122</v>
      </c>
      <c r="AT26" s="65">
        <v>900</v>
      </c>
      <c r="AU26" s="65">
        <v>600</v>
      </c>
      <c r="AV26" s="65" t="s">
        <v>123</v>
      </c>
      <c r="AW26" s="65">
        <v>256</v>
      </c>
      <c r="AX26" s="51">
        <v>1</v>
      </c>
      <c r="AY26" s="51">
        <v>1</v>
      </c>
      <c r="AZ26" s="51">
        <v>150</v>
      </c>
      <c r="BA26" s="51">
        <v>60</v>
      </c>
      <c r="BB26" s="51">
        <v>1</v>
      </c>
      <c r="BC26" s="48"/>
    </row>
    <row r="27" s="3" customFormat="1" spans="1:55">
      <c r="A27" s="51" t="s">
        <v>154</v>
      </c>
      <c r="B27" s="51" t="s">
        <v>107</v>
      </c>
      <c r="C27" s="51">
        <v>1</v>
      </c>
      <c r="D27" s="52" t="s">
        <v>126</v>
      </c>
      <c r="E27" s="53" t="s">
        <v>127</v>
      </c>
      <c r="F27" s="48">
        <v>800</v>
      </c>
      <c r="G27" s="48"/>
      <c r="H27" s="48"/>
      <c r="I27" s="53" t="s">
        <v>128</v>
      </c>
      <c r="J27" s="51">
        <v>1</v>
      </c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7">
        <v>20</v>
      </c>
      <c r="AB27" s="57">
        <v>20</v>
      </c>
      <c r="AC27" s="55">
        <v>500</v>
      </c>
      <c r="AD27" s="55">
        <v>0</v>
      </c>
      <c r="AE27" s="55">
        <v>95</v>
      </c>
      <c r="AF27" s="55">
        <v>0</v>
      </c>
      <c r="AG27" s="55" t="s">
        <v>116</v>
      </c>
      <c r="AH27" s="61">
        <v>40</v>
      </c>
      <c r="AI27" s="61">
        <v>40</v>
      </c>
      <c r="AJ27" s="61">
        <v>0.6</v>
      </c>
      <c r="AK27" s="61"/>
      <c r="AL27" s="63" t="s">
        <v>129</v>
      </c>
      <c r="AM27" s="63" t="s">
        <v>130</v>
      </c>
      <c r="AN27" s="63">
        <v>500</v>
      </c>
      <c r="AO27" s="63">
        <v>10</v>
      </c>
      <c r="AP27" s="65" t="s">
        <v>119</v>
      </c>
      <c r="AQ27" s="65" t="s">
        <v>120</v>
      </c>
      <c r="AR27" s="65" t="s">
        <v>121</v>
      </c>
      <c r="AS27" s="65" t="s">
        <v>122</v>
      </c>
      <c r="AT27" s="65">
        <v>900</v>
      </c>
      <c r="AU27" s="65">
        <v>600</v>
      </c>
      <c r="AV27" s="65" t="s">
        <v>123</v>
      </c>
      <c r="AW27" s="65">
        <v>256</v>
      </c>
      <c r="AX27" s="51">
        <v>1</v>
      </c>
      <c r="AY27" s="51">
        <v>1</v>
      </c>
      <c r="AZ27" s="51">
        <v>150</v>
      </c>
      <c r="BA27" s="51">
        <v>60</v>
      </c>
      <c r="BB27" s="51">
        <v>1</v>
      </c>
      <c r="BC27" s="48"/>
    </row>
    <row r="28" s="3" customFormat="1" spans="1:55">
      <c r="A28" s="51" t="s">
        <v>155</v>
      </c>
      <c r="B28" s="51" t="s">
        <v>107</v>
      </c>
      <c r="C28" s="51">
        <v>1</v>
      </c>
      <c r="D28" s="52" t="s">
        <v>126</v>
      </c>
      <c r="E28" s="53" t="s">
        <v>127</v>
      </c>
      <c r="F28" s="48">
        <v>800</v>
      </c>
      <c r="G28" s="48"/>
      <c r="H28" s="48"/>
      <c r="I28" s="53" t="s">
        <v>128</v>
      </c>
      <c r="J28" s="51">
        <v>1</v>
      </c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7">
        <v>40</v>
      </c>
      <c r="AB28" s="57">
        <v>20</v>
      </c>
      <c r="AC28" s="55">
        <v>700</v>
      </c>
      <c r="AD28" s="55">
        <v>0</v>
      </c>
      <c r="AE28" s="55">
        <v>75</v>
      </c>
      <c r="AF28" s="55">
        <v>0</v>
      </c>
      <c r="AG28" s="55" t="s">
        <v>116</v>
      </c>
      <c r="AH28" s="61">
        <v>50</v>
      </c>
      <c r="AI28" s="61">
        <v>50</v>
      </c>
      <c r="AJ28" s="61">
        <v>0.5</v>
      </c>
      <c r="AK28" s="61"/>
      <c r="AL28" s="63" t="s">
        <v>134</v>
      </c>
      <c r="AM28" s="63" t="s">
        <v>130</v>
      </c>
      <c r="AN28" s="63">
        <v>500</v>
      </c>
      <c r="AO28" s="63">
        <v>10</v>
      </c>
      <c r="AP28" s="65" t="s">
        <v>119</v>
      </c>
      <c r="AQ28" s="65" t="s">
        <v>120</v>
      </c>
      <c r="AR28" s="65" t="s">
        <v>121</v>
      </c>
      <c r="AS28" s="65" t="s">
        <v>122</v>
      </c>
      <c r="AT28" s="65">
        <v>900</v>
      </c>
      <c r="AU28" s="65">
        <v>600</v>
      </c>
      <c r="AV28" s="65" t="s">
        <v>123</v>
      </c>
      <c r="AW28" s="65">
        <v>256</v>
      </c>
      <c r="AX28" s="51">
        <v>1</v>
      </c>
      <c r="AY28" s="51">
        <v>1</v>
      </c>
      <c r="AZ28" s="51">
        <v>150</v>
      </c>
      <c r="BA28" s="51">
        <v>60</v>
      </c>
      <c r="BB28" s="51">
        <v>1</v>
      </c>
      <c r="BC28" s="48"/>
    </row>
    <row r="29" s="3" customFormat="1" spans="1:55">
      <c r="A29" s="51" t="s">
        <v>156</v>
      </c>
      <c r="B29" s="51" t="s">
        <v>107</v>
      </c>
      <c r="C29" s="51">
        <v>1</v>
      </c>
      <c r="D29" s="52" t="s">
        <v>126</v>
      </c>
      <c r="E29" s="53" t="s">
        <v>127</v>
      </c>
      <c r="F29" s="48">
        <v>800</v>
      </c>
      <c r="G29" s="48"/>
      <c r="H29" s="48"/>
      <c r="I29" s="53" t="s">
        <v>128</v>
      </c>
      <c r="J29" s="51">
        <v>1</v>
      </c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7">
        <v>20</v>
      </c>
      <c r="AB29" s="57">
        <v>20</v>
      </c>
      <c r="AC29" s="55">
        <v>650</v>
      </c>
      <c r="AD29" s="55">
        <v>0</v>
      </c>
      <c r="AE29" s="55">
        <v>150</v>
      </c>
      <c r="AF29" s="55">
        <v>50</v>
      </c>
      <c r="AG29" s="55" t="s">
        <v>116</v>
      </c>
      <c r="AH29" s="61">
        <v>50</v>
      </c>
      <c r="AI29" s="61">
        <v>50</v>
      </c>
      <c r="AJ29" s="61">
        <v>0.6</v>
      </c>
      <c r="AK29" s="61"/>
      <c r="AL29" s="63" t="s">
        <v>134</v>
      </c>
      <c r="AM29" s="63" t="s">
        <v>130</v>
      </c>
      <c r="AN29" s="63">
        <v>500</v>
      </c>
      <c r="AO29" s="63">
        <v>10</v>
      </c>
      <c r="AP29" s="65" t="s">
        <v>119</v>
      </c>
      <c r="AQ29" s="65" t="s">
        <v>120</v>
      </c>
      <c r="AR29" s="65" t="s">
        <v>121</v>
      </c>
      <c r="AS29" s="65" t="s">
        <v>122</v>
      </c>
      <c r="AT29" s="65">
        <v>900</v>
      </c>
      <c r="AU29" s="65">
        <v>600</v>
      </c>
      <c r="AV29" s="65" t="s">
        <v>123</v>
      </c>
      <c r="AW29" s="65">
        <v>256</v>
      </c>
      <c r="AX29" s="51">
        <v>1</v>
      </c>
      <c r="AY29" s="51">
        <v>1</v>
      </c>
      <c r="AZ29" s="51">
        <v>150</v>
      </c>
      <c r="BA29" s="51">
        <v>60</v>
      </c>
      <c r="BB29" s="51">
        <v>1</v>
      </c>
      <c r="BC29" s="48"/>
    </row>
    <row r="30" s="3" customFormat="1" spans="1:55">
      <c r="A30" s="51" t="s">
        <v>157</v>
      </c>
      <c r="B30" s="51" t="s">
        <v>107</v>
      </c>
      <c r="C30" s="51">
        <v>1</v>
      </c>
      <c r="D30" s="52" t="s">
        <v>126</v>
      </c>
      <c r="E30" s="53" t="s">
        <v>127</v>
      </c>
      <c r="F30" s="48">
        <v>800</v>
      </c>
      <c r="G30" s="48"/>
      <c r="H30" s="48"/>
      <c r="I30" s="53" t="s">
        <v>128</v>
      </c>
      <c r="J30" s="51">
        <v>1</v>
      </c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7">
        <v>20</v>
      </c>
      <c r="AB30" s="57">
        <v>20</v>
      </c>
      <c r="AC30" s="55">
        <v>1000</v>
      </c>
      <c r="AD30" s="55">
        <v>0</v>
      </c>
      <c r="AE30" s="55">
        <v>150</v>
      </c>
      <c r="AF30" s="55">
        <v>50</v>
      </c>
      <c r="AG30" s="55" t="s">
        <v>116</v>
      </c>
      <c r="AH30" s="61">
        <v>70</v>
      </c>
      <c r="AI30" s="61">
        <v>70</v>
      </c>
      <c r="AJ30" s="61">
        <v>0.6</v>
      </c>
      <c r="AK30" s="61"/>
      <c r="AL30" s="63" t="s">
        <v>134</v>
      </c>
      <c r="AM30" s="63" t="s">
        <v>130</v>
      </c>
      <c r="AN30" s="63">
        <v>500</v>
      </c>
      <c r="AO30" s="63">
        <v>10</v>
      </c>
      <c r="AP30" s="65" t="s">
        <v>119</v>
      </c>
      <c r="AQ30" s="65" t="s">
        <v>120</v>
      </c>
      <c r="AR30" s="65" t="s">
        <v>121</v>
      </c>
      <c r="AS30" s="65" t="s">
        <v>122</v>
      </c>
      <c r="AT30" s="65">
        <v>900</v>
      </c>
      <c r="AU30" s="65">
        <v>600</v>
      </c>
      <c r="AV30" s="65" t="s">
        <v>123</v>
      </c>
      <c r="AW30" s="65">
        <v>256</v>
      </c>
      <c r="AX30" s="51">
        <v>1</v>
      </c>
      <c r="AY30" s="51">
        <v>1</v>
      </c>
      <c r="AZ30" s="51">
        <v>150</v>
      </c>
      <c r="BA30" s="51">
        <v>60</v>
      </c>
      <c r="BB30" s="51">
        <v>1</v>
      </c>
      <c r="BC30" s="48"/>
    </row>
    <row r="31" s="3" customFormat="1" spans="1:55">
      <c r="A31" s="51" t="s">
        <v>158</v>
      </c>
      <c r="B31" s="51" t="s">
        <v>107</v>
      </c>
      <c r="C31" s="51">
        <v>1</v>
      </c>
      <c r="D31" s="52" t="s">
        <v>126</v>
      </c>
      <c r="E31" s="53" t="s">
        <v>127</v>
      </c>
      <c r="F31" s="48">
        <v>800</v>
      </c>
      <c r="G31" s="48"/>
      <c r="H31" s="48"/>
      <c r="I31" s="53" t="s">
        <v>128</v>
      </c>
      <c r="J31" s="51">
        <v>1</v>
      </c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7">
        <v>35</v>
      </c>
      <c r="AB31" s="57">
        <v>20</v>
      </c>
      <c r="AC31" s="55">
        <v>750</v>
      </c>
      <c r="AD31" s="55">
        <v>0</v>
      </c>
      <c r="AE31" s="55">
        <v>25</v>
      </c>
      <c r="AF31" s="55">
        <v>0</v>
      </c>
      <c r="AG31" s="55" t="s">
        <v>116</v>
      </c>
      <c r="AH31" s="61">
        <v>75</v>
      </c>
      <c r="AI31" s="61">
        <v>75</v>
      </c>
      <c r="AJ31" s="61">
        <v>1</v>
      </c>
      <c r="AK31" s="61"/>
      <c r="AL31" s="63" t="s">
        <v>134</v>
      </c>
      <c r="AM31" s="63" t="s">
        <v>130</v>
      </c>
      <c r="AN31" s="63">
        <v>500</v>
      </c>
      <c r="AO31" s="63">
        <v>10</v>
      </c>
      <c r="AP31" s="65" t="s">
        <v>119</v>
      </c>
      <c r="AQ31" s="65" t="s">
        <v>120</v>
      </c>
      <c r="AR31" s="65" t="s">
        <v>121</v>
      </c>
      <c r="AS31" s="65" t="s">
        <v>122</v>
      </c>
      <c r="AT31" s="65">
        <v>900</v>
      </c>
      <c r="AU31" s="65">
        <v>600</v>
      </c>
      <c r="AV31" s="65" t="s">
        <v>123</v>
      </c>
      <c r="AW31" s="65">
        <v>256</v>
      </c>
      <c r="AX31" s="51">
        <v>1</v>
      </c>
      <c r="AY31" s="51">
        <v>1</v>
      </c>
      <c r="AZ31" s="51">
        <v>150</v>
      </c>
      <c r="BA31" s="51">
        <v>60</v>
      </c>
      <c r="BB31" s="51">
        <v>1</v>
      </c>
      <c r="BC31" s="48"/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workbookViewId="0">
      <selection activeCell="A24" sqref="A24"/>
    </sheetView>
  </sheetViews>
  <sheetFormatPr defaultColWidth="9" defaultRowHeight="14" outlineLevelCol="3"/>
  <cols>
    <col min="1" max="1" width="29.1416666666667" customWidth="1"/>
    <col min="2" max="2" width="12.425" customWidth="1"/>
    <col min="3" max="3" width="31.2833333333333" customWidth="1"/>
    <col min="4" max="4" width="39.3583333333333" customWidth="1"/>
  </cols>
  <sheetData>
    <row r="1" spans="1:4">
      <c r="A1" s="34" t="s">
        <v>159</v>
      </c>
      <c r="B1" s="34" t="s">
        <v>160</v>
      </c>
      <c r="C1" s="34" t="s">
        <v>161</v>
      </c>
      <c r="D1" s="34" t="s">
        <v>160</v>
      </c>
    </row>
    <row r="2" spans="1:4">
      <c r="A2" s="35" t="s">
        <v>53</v>
      </c>
      <c r="B2" s="34" t="s">
        <v>1</v>
      </c>
      <c r="C2" s="34" t="s">
        <v>107</v>
      </c>
      <c r="D2" s="3"/>
    </row>
    <row r="3" spans="1:4">
      <c r="A3" s="35" t="s">
        <v>162</v>
      </c>
      <c r="B3" s="34" t="s">
        <v>163</v>
      </c>
      <c r="C3" s="34" t="s">
        <v>164</v>
      </c>
      <c r="D3" s="3"/>
    </row>
    <row r="4" spans="1:4">
      <c r="A4" s="35" t="s">
        <v>54</v>
      </c>
      <c r="B4" s="36" t="s">
        <v>165</v>
      </c>
      <c r="C4" s="3">
        <v>3</v>
      </c>
      <c r="D4" s="3"/>
    </row>
    <row r="5" spans="1:4">
      <c r="A5" s="35" t="s">
        <v>80</v>
      </c>
      <c r="B5" s="36" t="s">
        <v>28</v>
      </c>
      <c r="C5" s="3">
        <v>1000</v>
      </c>
      <c r="D5" s="3"/>
    </row>
    <row r="6" spans="1:4">
      <c r="A6" s="35" t="s">
        <v>81</v>
      </c>
      <c r="B6" s="36" t="s">
        <v>166</v>
      </c>
      <c r="C6" s="3">
        <v>2</v>
      </c>
      <c r="D6" s="3"/>
    </row>
    <row r="7" spans="1:4">
      <c r="A7" s="35" t="s">
        <v>82</v>
      </c>
      <c r="B7" s="36" t="s">
        <v>30</v>
      </c>
      <c r="C7" s="3">
        <v>1000</v>
      </c>
      <c r="D7" s="3"/>
    </row>
    <row r="8" spans="1:4">
      <c r="A8" s="35" t="s">
        <v>84</v>
      </c>
      <c r="B8" s="36" t="s">
        <v>167</v>
      </c>
      <c r="C8" s="3">
        <v>3</v>
      </c>
      <c r="D8" s="3"/>
    </row>
    <row r="9" spans="1:4">
      <c r="A9" s="35" t="s">
        <v>83</v>
      </c>
      <c r="B9" s="36" t="s">
        <v>31</v>
      </c>
      <c r="C9" s="3">
        <v>0</v>
      </c>
      <c r="D9" s="3"/>
    </row>
    <row r="10" spans="1:4">
      <c r="A10" s="35" t="s">
        <v>78</v>
      </c>
      <c r="B10" s="36" t="s">
        <v>26</v>
      </c>
      <c r="C10" s="3">
        <v>0</v>
      </c>
      <c r="D10" s="3"/>
    </row>
    <row r="11" spans="1:4">
      <c r="A11" s="35" t="s">
        <v>79</v>
      </c>
      <c r="B11" s="36" t="s">
        <v>27</v>
      </c>
      <c r="C11" s="3">
        <v>0</v>
      </c>
      <c r="D11" s="3"/>
    </row>
    <row r="12" spans="1:4">
      <c r="A12" s="35" t="s">
        <v>89</v>
      </c>
      <c r="B12" s="36" t="s">
        <v>37</v>
      </c>
      <c r="C12" s="34" t="s">
        <v>129</v>
      </c>
      <c r="D12" s="36" t="s">
        <v>168</v>
      </c>
    </row>
    <row r="13" spans="1:4">
      <c r="A13" s="35" t="s">
        <v>86</v>
      </c>
      <c r="B13" s="34" t="s">
        <v>34</v>
      </c>
      <c r="C13" s="3">
        <v>100</v>
      </c>
      <c r="D13" s="3"/>
    </row>
    <row r="14" spans="1:4">
      <c r="A14" s="35" t="s">
        <v>85</v>
      </c>
      <c r="B14" s="34" t="s">
        <v>33</v>
      </c>
      <c r="C14" s="3">
        <v>90</v>
      </c>
      <c r="D14" s="3"/>
    </row>
    <row r="15" spans="1:4">
      <c r="A15" s="35" t="s">
        <v>169</v>
      </c>
      <c r="B15" s="34" t="s">
        <v>170</v>
      </c>
      <c r="C15" s="3">
        <v>110</v>
      </c>
      <c r="D15" s="3"/>
    </row>
    <row r="16" spans="1:4">
      <c r="A16" s="35" t="s">
        <v>87</v>
      </c>
      <c r="B16" s="34" t="s">
        <v>35</v>
      </c>
      <c r="C16" s="3">
        <v>1.7</v>
      </c>
      <c r="D16" s="3"/>
    </row>
    <row r="17" spans="1:4">
      <c r="A17" s="35" t="s">
        <v>88</v>
      </c>
      <c r="B17" s="34" t="s">
        <v>36</v>
      </c>
      <c r="C17" s="3">
        <v>800</v>
      </c>
      <c r="D17" s="3"/>
    </row>
    <row r="18" spans="1:4">
      <c r="A18" s="35" t="s">
        <v>171</v>
      </c>
      <c r="B18" s="34" t="s">
        <v>172</v>
      </c>
      <c r="C18" s="3">
        <v>900</v>
      </c>
      <c r="D18" s="3"/>
    </row>
    <row r="19" spans="1:4">
      <c r="A19" s="35" t="s">
        <v>56</v>
      </c>
      <c r="B19" s="34" t="s">
        <v>173</v>
      </c>
      <c r="C19" s="3"/>
      <c r="D19" s="34" t="s">
        <v>174</v>
      </c>
    </row>
    <row r="20" spans="1:4">
      <c r="A20" s="35" t="s">
        <v>57</v>
      </c>
      <c r="B20" s="34" t="s">
        <v>175</v>
      </c>
      <c r="C20" s="3">
        <v>1000</v>
      </c>
      <c r="D20" s="3"/>
    </row>
    <row r="21" spans="1:4">
      <c r="A21" s="35" t="s">
        <v>58</v>
      </c>
      <c r="B21" s="34" t="s">
        <v>176</v>
      </c>
      <c r="C21" s="3">
        <v>0.3</v>
      </c>
      <c r="D21" s="3"/>
    </row>
    <row r="22" spans="1:4">
      <c r="A22" s="35" t="s">
        <v>90</v>
      </c>
      <c r="B22" s="34" t="s">
        <v>38</v>
      </c>
      <c r="C22" s="34" t="s">
        <v>177</v>
      </c>
      <c r="D22" s="34" t="s">
        <v>178</v>
      </c>
    </row>
    <row r="23" spans="1:4">
      <c r="A23" s="35" t="s">
        <v>91</v>
      </c>
      <c r="B23" s="34" t="s">
        <v>39</v>
      </c>
      <c r="C23" s="3">
        <v>340</v>
      </c>
      <c r="D23" s="3"/>
    </row>
    <row r="24" spans="1:4">
      <c r="A24" s="35" t="s">
        <v>92</v>
      </c>
      <c r="B24" s="34" t="s">
        <v>179</v>
      </c>
      <c r="C24" s="3">
        <v>1</v>
      </c>
      <c r="D24" s="34" t="s">
        <v>180</v>
      </c>
    </row>
    <row r="25" spans="1:4">
      <c r="A25" s="35" t="s">
        <v>97</v>
      </c>
      <c r="B25" s="34" t="s">
        <v>181</v>
      </c>
      <c r="C25" s="3">
        <v>1200</v>
      </c>
      <c r="D25" s="3"/>
    </row>
    <row r="26" spans="1:4">
      <c r="A26" s="35" t="s">
        <v>98</v>
      </c>
      <c r="B26" s="34" t="s">
        <v>182</v>
      </c>
      <c r="C26" s="3">
        <v>1000</v>
      </c>
      <c r="D26" s="3"/>
    </row>
    <row r="27" spans="1:4">
      <c r="A27" s="35" t="s">
        <v>183</v>
      </c>
      <c r="B27" s="34" t="s">
        <v>184</v>
      </c>
      <c r="C27" s="3">
        <v>50</v>
      </c>
      <c r="D27" s="3"/>
    </row>
    <row r="28" spans="1:4">
      <c r="A28" s="35" t="s">
        <v>185</v>
      </c>
      <c r="B28" s="34" t="s">
        <v>186</v>
      </c>
      <c r="C28" s="3">
        <v>40</v>
      </c>
      <c r="D28" s="3"/>
    </row>
    <row r="29" spans="1:4">
      <c r="A29" s="35" t="s">
        <v>187</v>
      </c>
      <c r="B29" s="34" t="s">
        <v>188</v>
      </c>
      <c r="C29" s="3">
        <v>20</v>
      </c>
      <c r="D29" s="3"/>
    </row>
    <row r="30" spans="1:4">
      <c r="A30" s="35" t="s">
        <v>189</v>
      </c>
      <c r="B30" s="34" t="s">
        <v>190</v>
      </c>
      <c r="C30" s="3"/>
      <c r="D30" s="3"/>
    </row>
    <row r="31" spans="1:4">
      <c r="A31" s="35" t="s">
        <v>102</v>
      </c>
      <c r="B31" s="34" t="s">
        <v>191</v>
      </c>
      <c r="C31" s="3">
        <v>1</v>
      </c>
      <c r="D31" s="3"/>
    </row>
    <row r="32" spans="1:4">
      <c r="A32" s="37" t="s">
        <v>105</v>
      </c>
      <c r="B32" s="34" t="s">
        <v>192</v>
      </c>
      <c r="C32" s="3"/>
      <c r="D32" s="34" t="s">
        <v>193</v>
      </c>
    </row>
    <row r="33" spans="1:4">
      <c r="A33" s="35" t="s">
        <v>103</v>
      </c>
      <c r="B33" s="34" t="s">
        <v>194</v>
      </c>
      <c r="C33" s="3"/>
      <c r="D33" s="3"/>
    </row>
    <row r="34" spans="1:4">
      <c r="A34" s="35" t="s">
        <v>101</v>
      </c>
      <c r="B34" s="34" t="s">
        <v>195</v>
      </c>
      <c r="C34" s="3"/>
      <c r="D34" s="3"/>
    </row>
    <row r="35" spans="1:4">
      <c r="A35" s="35" t="s">
        <v>196</v>
      </c>
      <c r="B35" s="34" t="s">
        <v>197</v>
      </c>
      <c r="C35" s="3"/>
      <c r="D35" s="3"/>
    </row>
    <row r="36" spans="1:4">
      <c r="A36" s="35" t="s">
        <v>198</v>
      </c>
      <c r="B36" s="34" t="s">
        <v>199</v>
      </c>
      <c r="C36" s="3"/>
      <c r="D36" s="3"/>
    </row>
    <row r="37" spans="1:4">
      <c r="A37" s="35" t="s">
        <v>200</v>
      </c>
      <c r="B37" s="34" t="s">
        <v>201</v>
      </c>
      <c r="C37" s="3"/>
      <c r="D37" s="3"/>
    </row>
    <row r="38" spans="1:4">
      <c r="A38" s="35" t="s">
        <v>202</v>
      </c>
      <c r="B38" s="34" t="s">
        <v>203</v>
      </c>
      <c r="C38" s="3"/>
      <c r="D38" s="3"/>
    </row>
    <row r="39" spans="1:4">
      <c r="A39" s="35" t="s">
        <v>204</v>
      </c>
      <c r="B39" s="34" t="s">
        <v>205</v>
      </c>
      <c r="C39" s="3"/>
      <c r="D39" s="3"/>
    </row>
    <row r="40" spans="1:4">
      <c r="A40" s="35" t="s">
        <v>206</v>
      </c>
      <c r="B40" s="34" t="s">
        <v>207</v>
      </c>
      <c r="C40" s="3"/>
      <c r="D40" s="3"/>
    </row>
    <row r="41" spans="1:4">
      <c r="A41" s="35" t="s">
        <v>99</v>
      </c>
      <c r="B41" s="34" t="s">
        <v>46</v>
      </c>
      <c r="C41" s="3"/>
      <c r="D41" s="3"/>
    </row>
    <row r="42" spans="1:4">
      <c r="A42" s="35" t="s">
        <v>100</v>
      </c>
      <c r="B42" s="34" t="s">
        <v>47</v>
      </c>
      <c r="C42" s="3"/>
      <c r="D42" s="3"/>
    </row>
    <row r="43" spans="1:4">
      <c r="A43" s="35" t="s">
        <v>208</v>
      </c>
      <c r="B43" s="34" t="s">
        <v>209</v>
      </c>
      <c r="C43" s="3"/>
      <c r="D43" s="3"/>
    </row>
    <row r="44" spans="1:4">
      <c r="A44" s="35" t="s">
        <v>60</v>
      </c>
      <c r="B44" s="34" t="s">
        <v>210</v>
      </c>
      <c r="C44" s="3"/>
      <c r="D44" s="3"/>
    </row>
    <row r="45" spans="1:4">
      <c r="A45" s="35" t="s">
        <v>211</v>
      </c>
      <c r="B45" s="34" t="s">
        <v>212</v>
      </c>
      <c r="C45" s="3"/>
      <c r="D45" s="3"/>
    </row>
    <row r="46" spans="1:4">
      <c r="A46" s="35" t="s">
        <v>59</v>
      </c>
      <c r="B46" s="34" t="s">
        <v>213</v>
      </c>
      <c r="C46" s="34" t="s">
        <v>214</v>
      </c>
      <c r="D46" s="3"/>
    </row>
    <row r="47" spans="1:4">
      <c r="A47" s="35" t="s">
        <v>215</v>
      </c>
      <c r="B47" s="34" t="s">
        <v>216</v>
      </c>
      <c r="C47" s="3"/>
      <c r="D47" s="3"/>
    </row>
    <row r="48" spans="1:4">
      <c r="A48" s="35" t="s">
        <v>55</v>
      </c>
      <c r="B48" s="34" t="s">
        <v>3</v>
      </c>
      <c r="C48" s="3"/>
      <c r="D48" s="3"/>
    </row>
    <row r="49" spans="1:4">
      <c r="A49" s="35" t="s">
        <v>61</v>
      </c>
      <c r="B49" s="34" t="s">
        <v>9</v>
      </c>
      <c r="C49" s="3"/>
      <c r="D49" s="3"/>
    </row>
    <row r="50" spans="1:4">
      <c r="A50" s="35" t="s">
        <v>217</v>
      </c>
      <c r="B50" s="34" t="s">
        <v>218</v>
      </c>
      <c r="C50" s="3"/>
      <c r="D50" s="3"/>
    </row>
    <row r="51" spans="1:4">
      <c r="A51" s="35" t="s">
        <v>219</v>
      </c>
      <c r="B51" s="34" t="s">
        <v>220</v>
      </c>
      <c r="C51" s="3"/>
      <c r="D51" s="3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9"/>
  <sheetViews>
    <sheetView workbookViewId="0">
      <selection activeCell="D3" sqref="D3"/>
    </sheetView>
  </sheetViews>
  <sheetFormatPr defaultColWidth="9" defaultRowHeight="14"/>
  <cols>
    <col min="1" max="1" width="31.1416666666667" style="4" customWidth="1"/>
    <col min="2" max="2" width="26.6416666666667" style="4" customWidth="1"/>
    <col min="3" max="3" width="3.70833333333333" style="4" customWidth="1"/>
    <col min="4" max="4" width="22.0666666666667" customWidth="1"/>
    <col min="5" max="5" width="18.8583333333333" style="4" customWidth="1"/>
    <col min="6" max="6" width="5.06666666666667" style="4" customWidth="1"/>
    <col min="7" max="7" width="5.925" style="5" customWidth="1"/>
    <col min="8" max="8" width="5.35833333333333" customWidth="1"/>
    <col min="9" max="9" width="7.35833333333333" customWidth="1"/>
    <col min="10" max="21" width="5.35833333333333" customWidth="1"/>
    <col min="22" max="22" width="10.0666666666667" customWidth="1"/>
    <col min="23" max="23" width="40.3583333333333" customWidth="1"/>
    <col min="24" max="24" width="20.0666666666667" style="6" customWidth="1"/>
    <col min="25" max="25" width="13.8583333333333" customWidth="1"/>
    <col min="26" max="26" width="29.8583333333333" customWidth="1"/>
    <col min="27" max="27" width="25.1416666666667" customWidth="1"/>
    <col min="28" max="28" width="23" customWidth="1"/>
    <col min="29" max="29" width="27.0666666666667" customWidth="1"/>
    <col min="30" max="30" width="29.6416666666667" customWidth="1"/>
    <col min="31" max="31" width="28.425" customWidth="1"/>
    <col min="32" max="32" width="10.3583333333333" style="5" customWidth="1"/>
    <col min="33" max="33" width="6.85833333333333" style="7" customWidth="1"/>
    <col min="34" max="34" width="6.85833333333333" style="5" customWidth="1"/>
    <col min="35" max="35" width="6.85833333333333" style="8" customWidth="1"/>
    <col min="36" max="36" width="21" style="5" customWidth="1"/>
    <col min="37" max="37" width="20.3583333333333" style="5" customWidth="1"/>
    <col min="38" max="38" width="30.8583333333333" style="5" customWidth="1"/>
    <col min="39" max="46" width="6.85833333333333" style="5" customWidth="1"/>
    <col min="47" max="47" width="5.06666666666667" style="5" customWidth="1"/>
    <col min="48" max="48" width="5.925" style="5" customWidth="1"/>
    <col min="49" max="51" width="6.85833333333333" style="5" customWidth="1"/>
    <col min="52" max="52" width="22.925" style="5" customWidth="1"/>
    <col min="53" max="53" width="6.85833333333333" style="5" customWidth="1"/>
    <col min="54" max="54" width="24.0666666666667" customWidth="1"/>
    <col min="55" max="55" width="12.0666666666667" customWidth="1"/>
    <col min="56" max="56" width="20.8583333333333" customWidth="1"/>
    <col min="57" max="57" width="13" customWidth="1"/>
  </cols>
  <sheetData>
    <row r="1" s="1" customFormat="1" ht="31.5" customHeight="1" spans="1:57">
      <c r="A1" s="9" t="s">
        <v>0</v>
      </c>
      <c r="B1" s="9" t="s">
        <v>221</v>
      </c>
      <c r="C1" s="9" t="s">
        <v>222</v>
      </c>
      <c r="D1" s="10" t="s">
        <v>1</v>
      </c>
      <c r="E1" s="11" t="s">
        <v>3</v>
      </c>
      <c r="F1" s="11" t="s">
        <v>218</v>
      </c>
      <c r="G1" s="12" t="s">
        <v>223</v>
      </c>
      <c r="H1" s="12" t="s">
        <v>224</v>
      </c>
      <c r="I1" s="12" t="s">
        <v>225</v>
      </c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 t="s">
        <v>213</v>
      </c>
      <c r="W1" s="12" t="s">
        <v>226</v>
      </c>
      <c r="X1" s="17" t="s">
        <v>227</v>
      </c>
      <c r="Y1" s="12" t="s">
        <v>228</v>
      </c>
      <c r="Z1" s="20"/>
      <c r="AA1" s="20"/>
      <c r="AB1" s="20"/>
      <c r="AC1" s="20"/>
      <c r="AD1" s="20"/>
      <c r="AE1" s="20"/>
      <c r="AF1" s="20" t="s">
        <v>229</v>
      </c>
      <c r="AG1" s="23" t="s">
        <v>230</v>
      </c>
      <c r="AH1" s="10" t="s">
        <v>39</v>
      </c>
      <c r="AI1" s="24" t="s">
        <v>179</v>
      </c>
      <c r="AJ1" s="25" t="s">
        <v>231</v>
      </c>
      <c r="AK1" s="10" t="s">
        <v>232</v>
      </c>
      <c r="AL1" s="26" t="s">
        <v>37</v>
      </c>
      <c r="AM1" s="10" t="s">
        <v>233</v>
      </c>
      <c r="AN1" s="10" t="s">
        <v>27</v>
      </c>
      <c r="AO1" s="10" t="s">
        <v>28</v>
      </c>
      <c r="AP1" s="10" t="s">
        <v>234</v>
      </c>
      <c r="AQ1" s="10" t="s">
        <v>30</v>
      </c>
      <c r="AR1" s="10" t="s">
        <v>235</v>
      </c>
      <c r="AS1" s="10" t="s">
        <v>236</v>
      </c>
      <c r="AT1" s="10" t="s">
        <v>237</v>
      </c>
      <c r="AU1" s="26" t="s">
        <v>238</v>
      </c>
      <c r="AV1" s="26" t="s">
        <v>239</v>
      </c>
      <c r="AW1" s="26" t="s">
        <v>240</v>
      </c>
      <c r="AX1" s="32" t="s">
        <v>241</v>
      </c>
      <c r="AY1" s="26" t="s">
        <v>242</v>
      </c>
      <c r="AZ1" s="26" t="s">
        <v>243</v>
      </c>
      <c r="BA1" s="26" t="s">
        <v>244</v>
      </c>
      <c r="BB1" s="33" t="s">
        <v>173</v>
      </c>
      <c r="BC1" s="33" t="s">
        <v>245</v>
      </c>
      <c r="BD1" s="33" t="s">
        <v>246</v>
      </c>
      <c r="BE1" s="33" t="s">
        <v>247</v>
      </c>
    </row>
    <row r="2" s="1" customFormat="1" ht="36.75" customHeight="1" spans="1:57">
      <c r="A2" s="9" t="s">
        <v>248</v>
      </c>
      <c r="B2" s="9"/>
      <c r="C2" s="9"/>
      <c r="D2" s="10" t="s">
        <v>53</v>
      </c>
      <c r="E2" s="11" t="s">
        <v>55</v>
      </c>
      <c r="F2" s="11" t="s">
        <v>217</v>
      </c>
      <c r="G2" s="12" t="s">
        <v>61</v>
      </c>
      <c r="H2" s="12" t="s">
        <v>249</v>
      </c>
      <c r="I2" s="12" t="s">
        <v>250</v>
      </c>
      <c r="J2" s="12">
        <v>1</v>
      </c>
      <c r="K2" s="12">
        <v>2</v>
      </c>
      <c r="L2" s="12">
        <v>3</v>
      </c>
      <c r="M2" s="12">
        <v>4</v>
      </c>
      <c r="N2" s="12">
        <v>5</v>
      </c>
      <c r="O2" s="12">
        <v>6</v>
      </c>
      <c r="P2" s="12">
        <v>7</v>
      </c>
      <c r="Q2" s="12">
        <v>8</v>
      </c>
      <c r="R2" s="12">
        <v>9</v>
      </c>
      <c r="S2" s="12">
        <v>10</v>
      </c>
      <c r="T2" s="12" t="s">
        <v>251</v>
      </c>
      <c r="U2" s="12" t="s">
        <v>251</v>
      </c>
      <c r="V2" s="12" t="s">
        <v>59</v>
      </c>
      <c r="W2" s="12" t="s">
        <v>215</v>
      </c>
      <c r="X2" s="17" t="s">
        <v>60</v>
      </c>
      <c r="Y2" s="12" t="s">
        <v>211</v>
      </c>
      <c r="Z2" s="20" t="s">
        <v>62</v>
      </c>
      <c r="AA2" s="20" t="s">
        <v>63</v>
      </c>
      <c r="AB2" s="20" t="s">
        <v>64</v>
      </c>
      <c r="AC2" s="20" t="s">
        <v>65</v>
      </c>
      <c r="AD2" s="20" t="s">
        <v>66</v>
      </c>
      <c r="AE2" s="20" t="s">
        <v>67</v>
      </c>
      <c r="AF2" s="20" t="s">
        <v>101</v>
      </c>
      <c r="AG2" s="23" t="s">
        <v>103</v>
      </c>
      <c r="AH2" s="10" t="s">
        <v>91</v>
      </c>
      <c r="AI2" s="24" t="s">
        <v>92</v>
      </c>
      <c r="AJ2" s="25" t="s">
        <v>252</v>
      </c>
      <c r="AK2" s="10" t="s">
        <v>90</v>
      </c>
      <c r="AL2" s="26" t="s">
        <v>89</v>
      </c>
      <c r="AM2" s="10" t="s">
        <v>78</v>
      </c>
      <c r="AN2" s="27" t="s">
        <v>79</v>
      </c>
      <c r="AO2" s="10" t="s">
        <v>80</v>
      </c>
      <c r="AP2" s="10" t="s">
        <v>81</v>
      </c>
      <c r="AQ2" s="10" t="s">
        <v>82</v>
      </c>
      <c r="AR2" s="10" t="s">
        <v>84</v>
      </c>
      <c r="AS2" s="10" t="s">
        <v>183</v>
      </c>
      <c r="AT2" s="10" t="s">
        <v>185</v>
      </c>
      <c r="AU2" s="26" t="s">
        <v>85</v>
      </c>
      <c r="AV2" s="26" t="s">
        <v>86</v>
      </c>
      <c r="AW2" s="26" t="s">
        <v>87</v>
      </c>
      <c r="AX2" s="32" t="s">
        <v>58</v>
      </c>
      <c r="AY2" s="26" t="s">
        <v>88</v>
      </c>
      <c r="AZ2" s="26" t="s">
        <v>253</v>
      </c>
      <c r="BA2" s="26" t="s">
        <v>104</v>
      </c>
      <c r="BB2" s="33" t="s">
        <v>56</v>
      </c>
      <c r="BC2" s="33" t="s">
        <v>57</v>
      </c>
      <c r="BD2" s="33" t="s">
        <v>162</v>
      </c>
      <c r="BE2" s="33" t="s">
        <v>102</v>
      </c>
    </row>
    <row r="3" s="2" customFormat="1" spans="1:57">
      <c r="A3" s="13" t="s">
        <v>254</v>
      </c>
      <c r="B3" s="13" t="s">
        <v>255</v>
      </c>
      <c r="C3" s="13" t="str">
        <f>SUBSTITUTE(B3,"npc_dota_hero_","")</f>
        <v>earthshaker</v>
      </c>
      <c r="D3" s="14" t="s">
        <v>107</v>
      </c>
      <c r="E3" s="14" t="s">
        <v>256</v>
      </c>
      <c r="F3" s="13"/>
      <c r="G3" s="14">
        <v>1</v>
      </c>
      <c r="H3" s="14"/>
      <c r="I3" s="14"/>
      <c r="J3" s="3">
        <v>123</v>
      </c>
      <c r="K3" s="3">
        <v>223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 t="s">
        <v>257</v>
      </c>
      <c r="W3" s="14"/>
      <c r="X3" s="18" t="s">
        <v>258</v>
      </c>
      <c r="Y3" s="18" t="s">
        <v>259</v>
      </c>
      <c r="Z3" s="21"/>
      <c r="AA3" s="18"/>
      <c r="AB3" s="18"/>
      <c r="AC3" s="22"/>
      <c r="AD3" s="18"/>
      <c r="AE3" s="18"/>
      <c r="AF3" s="14">
        <v>1</v>
      </c>
      <c r="AG3" s="28">
        <v>200</v>
      </c>
      <c r="AH3" s="18" t="e">
        <f>VLOOKUP("npc_dota_hero_"&amp;$C3,#REF!,15,FALSE)</f>
        <v>#REF!</v>
      </c>
      <c r="AI3" s="29" t="e">
        <f>VLOOKUP("npc_dota_hero_"&amp;$C3,#REF!,16,FALSE)</f>
        <v>#REF!</v>
      </c>
      <c r="AJ3" s="18" t="e">
        <f>IF(VLOOKUP("npc_dota_hero_"&amp;$C3,#REF!,17,FALSE)="nil","",VLOOKUP("npc_dota_hero_"&amp;$C3,#REF!,17,FALSE))</f>
        <v>#REF!</v>
      </c>
      <c r="AK3" s="18" t="s">
        <v>130</v>
      </c>
      <c r="AL3" s="18" t="e">
        <f>VLOOKUP("npc_dota_hero_"&amp;$C3,#REF!,19,FALSE)</f>
        <v>#REF!</v>
      </c>
      <c r="AM3" s="14">
        <v>5</v>
      </c>
      <c r="AN3" s="14">
        <v>0</v>
      </c>
      <c r="AO3" s="14">
        <v>500</v>
      </c>
      <c r="AP3" s="14">
        <v>0</v>
      </c>
      <c r="AQ3" s="14">
        <v>100</v>
      </c>
      <c r="AR3" s="14">
        <v>0</v>
      </c>
      <c r="AS3" s="14">
        <v>0</v>
      </c>
      <c r="AT3" s="14">
        <v>0</v>
      </c>
      <c r="AU3" s="14">
        <v>50</v>
      </c>
      <c r="AV3" s="14">
        <v>60</v>
      </c>
      <c r="AW3" s="18">
        <v>1.5</v>
      </c>
      <c r="AX3" s="18">
        <v>0.3</v>
      </c>
      <c r="AY3" s="18">
        <v>130</v>
      </c>
      <c r="AZ3" s="18" t="s">
        <v>260</v>
      </c>
      <c r="BA3" s="14">
        <v>70</v>
      </c>
      <c r="BB3" s="18"/>
      <c r="BC3" s="18"/>
      <c r="BE3" s="2">
        <v>1</v>
      </c>
    </row>
    <row r="4" s="3" customFormat="1" spans="1:53">
      <c r="A4" s="15"/>
      <c r="B4" s="15"/>
      <c r="C4" s="15"/>
      <c r="E4" s="15"/>
      <c r="F4" s="15"/>
      <c r="G4" s="16"/>
      <c r="X4" s="19"/>
      <c r="AF4" s="16"/>
      <c r="AG4" s="30"/>
      <c r="AH4" s="16"/>
      <c r="AI4" s="31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</row>
    <row r="5" s="3" customFormat="1" spans="1:53">
      <c r="A5" s="15"/>
      <c r="B5" s="15"/>
      <c r="C5" s="15"/>
      <c r="E5" s="15"/>
      <c r="F5" s="15"/>
      <c r="G5" s="16"/>
      <c r="X5" s="19"/>
      <c r="AF5" s="16"/>
      <c r="AG5" s="30"/>
      <c r="AH5" s="16"/>
      <c r="AI5" s="31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</row>
    <row r="6" s="3" customFormat="1" spans="1:53">
      <c r="A6" s="15"/>
      <c r="B6" s="15"/>
      <c r="C6" s="15"/>
      <c r="E6" s="15"/>
      <c r="F6" s="15"/>
      <c r="G6" s="16"/>
      <c r="X6" s="19"/>
      <c r="AF6" s="16"/>
      <c r="AG6" s="30"/>
      <c r="AH6" s="16"/>
      <c r="AI6" s="31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</row>
    <row r="7" s="3" customFormat="1" spans="1:53">
      <c r="A7" s="15"/>
      <c r="B7" s="15"/>
      <c r="C7" s="15"/>
      <c r="E7" s="15"/>
      <c r="F7" s="15"/>
      <c r="G7" s="16"/>
      <c r="X7" s="19"/>
      <c r="AF7" s="16"/>
      <c r="AG7" s="30"/>
      <c r="AH7" s="16"/>
      <c r="AI7" s="31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</row>
    <row r="8" s="3" customFormat="1" spans="1:53">
      <c r="A8" s="15"/>
      <c r="B8" s="15"/>
      <c r="C8" s="15"/>
      <c r="E8" s="15"/>
      <c r="F8" s="15"/>
      <c r="G8" s="16"/>
      <c r="X8" s="19"/>
      <c r="AF8" s="16"/>
      <c r="AG8" s="30"/>
      <c r="AH8" s="16"/>
      <c r="AI8" s="31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</row>
    <row r="9" s="3" customFormat="1" spans="1:53">
      <c r="A9" s="15"/>
      <c r="B9" s="15"/>
      <c r="C9" s="15"/>
      <c r="E9" s="15"/>
      <c r="F9" s="15"/>
      <c r="G9" s="16"/>
      <c r="X9" s="19"/>
      <c r="AF9" s="16"/>
      <c r="AG9" s="30"/>
      <c r="AH9" s="16"/>
      <c r="AI9" s="31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</row>
    <row r="10" s="3" customFormat="1" spans="1:53">
      <c r="A10" s="15"/>
      <c r="B10" s="15"/>
      <c r="C10" s="15"/>
      <c r="E10" s="15"/>
      <c r="F10" s="15"/>
      <c r="G10" s="16"/>
      <c r="X10" s="19"/>
      <c r="AF10" s="16"/>
      <c r="AG10" s="30"/>
      <c r="AH10" s="16"/>
      <c r="AI10" s="31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</row>
    <row r="11" s="3" customFormat="1" spans="1:53">
      <c r="A11" s="15"/>
      <c r="B11" s="15"/>
      <c r="C11" s="15"/>
      <c r="E11" s="15"/>
      <c r="F11" s="15"/>
      <c r="G11" s="16"/>
      <c r="X11" s="19"/>
      <c r="AF11" s="16"/>
      <c r="AG11" s="30"/>
      <c r="AH11" s="16"/>
      <c r="AI11" s="31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</row>
    <row r="12" s="3" customFormat="1" spans="1:53">
      <c r="A12" s="15"/>
      <c r="B12" s="15"/>
      <c r="C12" s="15"/>
      <c r="E12" s="15"/>
      <c r="F12" s="15"/>
      <c r="G12" s="16"/>
      <c r="X12" s="19"/>
      <c r="AF12" s="16"/>
      <c r="AG12" s="30"/>
      <c r="AH12" s="16"/>
      <c r="AI12" s="31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</row>
    <row r="13" s="3" customFormat="1" spans="1:53">
      <c r="A13" s="15"/>
      <c r="B13" s="15"/>
      <c r="C13" s="15"/>
      <c r="E13" s="15"/>
      <c r="F13" s="15"/>
      <c r="G13" s="16"/>
      <c r="X13" s="19"/>
      <c r="AF13" s="16"/>
      <c r="AG13" s="30"/>
      <c r="AH13" s="16"/>
      <c r="AI13" s="31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</row>
    <row r="14" s="3" customFormat="1" spans="1:53">
      <c r="A14" s="15"/>
      <c r="B14" s="15"/>
      <c r="C14" s="15"/>
      <c r="E14" s="15"/>
      <c r="F14" s="15"/>
      <c r="G14" s="16"/>
      <c r="X14" s="19"/>
      <c r="AF14" s="16"/>
      <c r="AG14" s="30"/>
      <c r="AH14" s="16"/>
      <c r="AI14" s="31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</row>
    <row r="15" s="3" customFormat="1" spans="1:53">
      <c r="A15" s="15"/>
      <c r="B15" s="15"/>
      <c r="C15" s="15"/>
      <c r="E15" s="15"/>
      <c r="F15" s="15"/>
      <c r="G15" s="16"/>
      <c r="X15" s="19"/>
      <c r="AF15" s="16"/>
      <c r="AG15" s="30"/>
      <c r="AH15" s="16"/>
      <c r="AI15" s="31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</row>
    <row r="16" s="3" customFormat="1" spans="1:53">
      <c r="A16" s="15"/>
      <c r="B16" s="15"/>
      <c r="C16" s="15"/>
      <c r="E16" s="15"/>
      <c r="F16" s="15"/>
      <c r="G16" s="16"/>
      <c r="X16" s="19"/>
      <c r="AF16" s="16"/>
      <c r="AG16" s="30"/>
      <c r="AH16" s="16"/>
      <c r="AI16" s="31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="3" customFormat="1" spans="1:53">
      <c r="A17" s="15"/>
      <c r="B17" s="15"/>
      <c r="C17" s="15"/>
      <c r="E17" s="15"/>
      <c r="F17" s="15"/>
      <c r="G17" s="16"/>
      <c r="X17" s="19"/>
      <c r="AF17" s="16"/>
      <c r="AG17" s="30"/>
      <c r="AH17" s="16"/>
      <c r="AI17" s="31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</row>
    <row r="18" s="3" customFormat="1" spans="1:53">
      <c r="A18" s="15"/>
      <c r="B18" s="15"/>
      <c r="C18" s="15"/>
      <c r="E18" s="15"/>
      <c r="F18" s="15"/>
      <c r="G18" s="16"/>
      <c r="X18" s="19"/>
      <c r="AF18" s="16"/>
      <c r="AG18" s="30"/>
      <c r="AH18" s="16"/>
      <c r="AI18" s="31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</row>
    <row r="19" s="3" customFormat="1" spans="1:53">
      <c r="A19" s="15"/>
      <c r="B19" s="15"/>
      <c r="C19" s="15"/>
      <c r="E19" s="15"/>
      <c r="F19" s="15"/>
      <c r="G19" s="16"/>
      <c r="X19" s="19"/>
      <c r="AF19" s="16"/>
      <c r="AG19" s="30"/>
      <c r="AH19" s="16"/>
      <c r="AI19" s="31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</row>
  </sheetData>
  <conditionalFormatting sqref="E3">
    <cfRule type="containsText" dxfId="0" priority="38" operator="between" text="_custom">
      <formula>NOT(ISERROR(SEARCH("_custom",E3)))</formula>
    </cfRule>
  </conditionalFormatting>
  <conditionalFormatting sqref="W3">
    <cfRule type="containsText" dxfId="0" priority="35" operator="between" text="_custom">
      <formula>NOT(ISERROR(SEARCH("_custom",W3)))</formula>
    </cfRule>
  </conditionalFormatting>
  <conditionalFormatting sqref="X3">
    <cfRule type="containsText" dxfId="0" priority="36" operator="between" text="_custom">
      <formula>NOT(ISERROR(SEARCH("_custom",X3)))</formula>
    </cfRule>
  </conditionalFormatting>
  <conditionalFormatting sqref="Y3:AA3">
    <cfRule type="containsText" dxfId="0" priority="33" operator="between" text="_custom">
      <formula>NOT(ISERROR(SEARCH("_custom",Y3)))</formula>
    </cfRule>
  </conditionalFormatting>
  <conditionalFormatting sqref="AA3">
    <cfRule type="containsText" dxfId="0" priority="7" operator="between" text="_custom">
      <formula>NOT(ISERROR(SEARCH("_custom",AA3)))</formula>
    </cfRule>
  </conditionalFormatting>
  <conditionalFormatting sqref="AB3">
    <cfRule type="containsText" dxfId="0" priority="10" operator="between" text="_custom">
      <formula>NOT(ISERROR(SEARCH("_custom",AB3)))</formula>
    </cfRule>
  </conditionalFormatting>
  <conditionalFormatting sqref="AD3:AE3">
    <cfRule type="containsText" dxfId="0" priority="6" operator="between" text="_custom">
      <formula>NOT(ISERROR(SEARCH("_custom",AD3)))</formula>
    </cfRule>
  </conditionalFormatting>
  <conditionalFormatting sqref="AG3">
    <cfRule type="containsText" dxfId="0" priority="32" operator="between" text="_custom">
      <formula>NOT(ISERROR(SEARCH("_custom",AG3)))</formula>
    </cfRule>
  </conditionalFormatting>
  <conditionalFormatting sqref="AH3">
    <cfRule type="containsText" dxfId="0" priority="31" operator="between" text="_custom">
      <formula>NOT(ISERROR(SEARCH("_custom",AH3)))</formula>
    </cfRule>
  </conditionalFormatting>
  <conditionalFormatting sqref="AI3">
    <cfRule type="containsText" dxfId="0" priority="30" operator="between" text="_custom">
      <formula>NOT(ISERROR(SEARCH("_custom",AI3)))</formula>
    </cfRule>
  </conditionalFormatting>
  <conditionalFormatting sqref="AJ3">
    <cfRule type="containsText" dxfId="0" priority="29" operator="between" text="_custom">
      <formula>NOT(ISERROR(SEARCH("_custom",AJ3)))</formula>
    </cfRule>
  </conditionalFormatting>
  <conditionalFormatting sqref="AK3">
    <cfRule type="containsText" dxfId="0" priority="28" operator="between" text="_custom">
      <formula>NOT(ISERROR(SEARCH("_custom",AK3)))</formula>
    </cfRule>
  </conditionalFormatting>
  <conditionalFormatting sqref="AL3">
    <cfRule type="containsText" dxfId="0" priority="27" operator="between" text="_custom">
      <formula>NOT(ISERROR(SEARCH("_custom",AL3)))</formula>
    </cfRule>
  </conditionalFormatting>
  <conditionalFormatting sqref="AW3">
    <cfRule type="containsBlanks" dxfId="1" priority="37">
      <formula>LEN(TRIM(AW3))=0</formula>
    </cfRule>
    <cfRule type="containsText" dxfId="2" priority="14" operator="between" text="DOTA_UNIT_CAP_RANGED_ATTACK">
      <formula>NOT(ISERROR(SEARCH("DOTA_UNIT_CAP_RANGED_ATTACK",AW3)))</formula>
    </cfRule>
    <cfRule type="containsText" dxfId="3" priority="13" operator="between" text="DOTA_UNIT_CAP_MELEE_ATTACK">
      <formula>NOT(ISERROR(SEARCH("DOTA_UNIT_CAP_MELEE_ATTACK",AW3)))</formula>
    </cfRule>
    <cfRule type="containsText" dxfId="0" priority="12" operator="between" text="_custom">
      <formula>NOT(ISERROR(SEARCH("_custom",AW3)))</formula>
    </cfRule>
  </conditionalFormatting>
  <conditionalFormatting sqref="AX3">
    <cfRule type="containsText" dxfId="2" priority="26" operator="between" text="DOTA_UNIT_CAP_RANGED_ATTACK">
      <formula>NOT(ISERROR(SEARCH("DOTA_UNIT_CAP_RANGED_ATTACK",AX3)))</formula>
    </cfRule>
    <cfRule type="containsText" dxfId="3" priority="25" operator="between" text="DOTA_UNIT_CAP_MELEE_ATTACK">
      <formula>NOT(ISERROR(SEARCH("DOTA_UNIT_CAP_MELEE_ATTACK",AX3)))</formula>
    </cfRule>
    <cfRule type="containsText" dxfId="0" priority="24" operator="between" text="_custom">
      <formula>NOT(ISERROR(SEARCH("_custom",AX3)))</formula>
    </cfRule>
  </conditionalFormatting>
  <conditionalFormatting sqref="AY3">
    <cfRule type="containsText" dxfId="2" priority="23" operator="between" text="DOTA_UNIT_CAP_RANGED_ATTACK">
      <formula>NOT(ISERROR(SEARCH("DOTA_UNIT_CAP_RANGED_ATTACK",AY3)))</formula>
    </cfRule>
    <cfRule type="containsText" dxfId="3" priority="22" operator="between" text="DOTA_UNIT_CAP_MELEE_ATTACK">
      <formula>NOT(ISERROR(SEARCH("DOTA_UNIT_CAP_MELEE_ATTACK",AY3)))</formula>
    </cfRule>
    <cfRule type="containsText" dxfId="0" priority="21" operator="between" text="_custom">
      <formula>NOT(ISERROR(SEARCH("_custom",AY3)))</formula>
    </cfRule>
  </conditionalFormatting>
  <conditionalFormatting sqref="AZ3">
    <cfRule type="expression" dxfId="4" priority="5">
      <formula>$AL3="DOTA_UNIT_CAP_RANGED_ATTACK"</formula>
    </cfRule>
    <cfRule type="containsText" dxfId="2" priority="4" operator="between" text="DOTA_UNIT_CAP_RANGED_ATTACK">
      <formula>NOT(ISERROR(SEARCH("DOTA_UNIT_CAP_RANGED_ATTACK",AZ3)))</formula>
    </cfRule>
    <cfRule type="containsText" dxfId="3" priority="3" operator="between" text="DOTA_UNIT_CAP_MELEE_ATTACK">
      <formula>NOT(ISERROR(SEARCH("DOTA_UNIT_CAP_MELEE_ATTACK",AZ3)))</formula>
    </cfRule>
    <cfRule type="containsText" dxfId="0" priority="2" operator="between" text="_custom">
      <formula>NOT(ISERROR(SEARCH("_custom",AZ3)))</formula>
    </cfRule>
  </conditionalFormatting>
  <conditionalFormatting sqref="BB3">
    <cfRule type="containsText" dxfId="2" priority="20" operator="between" text="DOTA_UNIT_CAP_RANGED_ATTACK">
      <formula>NOT(ISERROR(SEARCH("DOTA_UNIT_CAP_RANGED_ATTACK",BB3)))</formula>
    </cfRule>
    <cfRule type="containsText" dxfId="3" priority="19" operator="between" text="DOTA_UNIT_CAP_MELEE_ATTACK">
      <formula>NOT(ISERROR(SEARCH("DOTA_UNIT_CAP_MELEE_ATTACK",BB3)))</formula>
    </cfRule>
    <cfRule type="containsText" dxfId="0" priority="18" operator="between" text="_custom">
      <formula>NOT(ISERROR(SEARCH("_custom",BB3)))</formula>
    </cfRule>
  </conditionalFormatting>
  <conditionalFormatting sqref="BC3">
    <cfRule type="containsText" dxfId="2" priority="17" operator="between" text="DOTA_UNIT_CAP_RANGED_ATTACK">
      <formula>NOT(ISERROR(SEARCH("DOTA_UNIT_CAP_RANGED_ATTACK",BC3)))</formula>
    </cfRule>
    <cfRule type="containsText" dxfId="3" priority="16" operator="between" text="DOTA_UNIT_CAP_MELEE_ATTACK">
      <formula>NOT(ISERROR(SEARCH("DOTA_UNIT_CAP_MELEE_ATTACK",BC3)))</formula>
    </cfRule>
    <cfRule type="containsText" dxfId="0" priority="15" operator="between" text="_custom">
      <formula>NOT(ISERROR(SEARCH("_custom",BC3)))</formula>
    </cfRule>
  </conditionalFormatting>
  <conditionalFormatting sqref="AL$1:AL$1048576">
    <cfRule type="containsText" dxfId="2" priority="9" operator="between" text="DOTA_UNIT_CAP_RANGED_ATTACK">
      <formula>NOT(ISERROR(SEARCH("DOTA_UNIT_CAP_RANGED_ATTACK",AL1)))</formula>
    </cfRule>
    <cfRule type="containsText" dxfId="3" priority="8" operator="between" text="DOTA_UNIT_CAP_MELEE_ATTACK">
      <formula>NOT(ISERROR(SEARCH("DOTA_UNIT_CAP_MELEE_ATTACK",AL1)))</formula>
    </cfRule>
  </conditionalFormatting>
  <conditionalFormatting sqref="AY1:BC2">
    <cfRule type="expression" dxfId="4" priority="39">
      <formula>$AL1="DOTA_UNIT_CAP_RANGED_ATTACK"</formula>
    </cfRule>
  </conditionalFormatting>
  <conditionalFormatting sqref="BD1:BE2">
    <cfRule type="expression" dxfId="4" priority="1">
      <formula>$AL1="DOTA_UNIT_CAP_RANGED_ATTACK"</formula>
    </cfRule>
  </conditionalFormatting>
  <conditionalFormatting sqref="V3 A3:C3">
    <cfRule type="containsText" dxfId="0" priority="34" operator="between" text="_custom">
      <formula>NOT(ISERROR(SEARCH("_custom",A3)))</formula>
    </cfRule>
  </conditionalFormatting>
  <conditionalFormatting sqref="L3:AB3 AY4:BC1048576 AD3:AY3 A3:I3 BA3:XFD3">
    <cfRule type="expression" dxfId="4" priority="11">
      <formula>$AL3="DOTA_UNIT_CAP_RANGED_ATTACK"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custom_units</vt:lpstr>
      <vt:lpstr>__常用键值</vt:lpstr>
      <vt:lpstr>老表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Tseng</dc:creator>
  <cp:lastModifiedBy>DREAMING</cp:lastModifiedBy>
  <dcterms:created xsi:type="dcterms:W3CDTF">2025-04-25T00:50:00Z</dcterms:created>
  <dcterms:modified xsi:type="dcterms:W3CDTF">2025-07-20T04:21:48Z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C3297521D6F347C98D5B72EF6C0E306D_12</vt:lpwstr>
  </property>
  <property fmtid="{D5CDD505-2E9C-101B-9397-08002B2CF9AE}" pid="3" name="KSOProductBuildVer">
    <vt:lpwstr>2052-12.1.0.21915</vt:lpwstr>
  </property>
</Properties>
</file>